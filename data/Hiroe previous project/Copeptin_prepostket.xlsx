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ihiroe/Documents/R/"/>
    </mc:Choice>
  </mc:AlternateContent>
  <xr:revisionPtr revIDLastSave="0" documentId="13_ncr:1_{DD1D2F1F-B622-E342-8347-EB92A6D438DB}" xr6:coauthVersionLast="47" xr6:coauthVersionMax="47" xr10:uidLastSave="{00000000-0000-0000-0000-000000000000}"/>
  <bookViews>
    <workbookView xWindow="-1220" yWindow="740" windowWidth="29400" windowHeight="17400" xr2:uid="{1BC0FD9F-D009-8C48-8D9A-6C2CFF0F5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1" i="1" l="1"/>
  <c r="Q72" i="1"/>
  <c r="Q73" i="1"/>
  <c r="Q70" i="1"/>
  <c r="H70" i="1"/>
  <c r="H71" i="1"/>
  <c r="H72" i="1"/>
  <c r="H73" i="1"/>
  <c r="H66" i="1"/>
  <c r="H67" i="1"/>
  <c r="H68" i="1"/>
  <c r="H69" i="1"/>
  <c r="Q69" i="1"/>
  <c r="Q68" i="1"/>
  <c r="Q67" i="1"/>
  <c r="Q66" i="1"/>
  <c r="Q65" i="1"/>
  <c r="Q64" i="1"/>
  <c r="Q63" i="1"/>
  <c r="Q61" i="1"/>
  <c r="Q60" i="1"/>
  <c r="Q59" i="1"/>
  <c r="Q57" i="1"/>
  <c r="Q56" i="1"/>
  <c r="Q55" i="1"/>
  <c r="Q53" i="1"/>
  <c r="Q52" i="1"/>
  <c r="Q51" i="1"/>
  <c r="Q49" i="1"/>
  <c r="Q48" i="1"/>
  <c r="Q47" i="1"/>
  <c r="Q45" i="1"/>
  <c r="Q44" i="1"/>
  <c r="Q43" i="1"/>
  <c r="Q41" i="1"/>
  <c r="Q40" i="1"/>
  <c r="Q39" i="1"/>
  <c r="Q37" i="1"/>
  <c r="Q36" i="1"/>
  <c r="Q35" i="1"/>
  <c r="Q33" i="1"/>
  <c r="Q32" i="1"/>
  <c r="Q31" i="1"/>
  <c r="Q29" i="1"/>
  <c r="Q28" i="1"/>
  <c r="Q27" i="1"/>
  <c r="Q23" i="1"/>
  <c r="Q21" i="1"/>
  <c r="Q20" i="1"/>
  <c r="Q19" i="1"/>
  <c r="Q17" i="1"/>
  <c r="Q16" i="1"/>
  <c r="Q15" i="1"/>
  <c r="Q13" i="1"/>
  <c r="Q12" i="1"/>
  <c r="Q11" i="1"/>
  <c r="Q9" i="1"/>
  <c r="Q8" i="1"/>
  <c r="Q7" i="1"/>
  <c r="Q5" i="1"/>
  <c r="Q4" i="1"/>
  <c r="Q3" i="1"/>
  <c r="Q2" i="1"/>
  <c r="Q38" i="1" l="1"/>
  <c r="Q42" i="1"/>
  <c r="Q46" i="1"/>
  <c r="Q50" i="1"/>
  <c r="Q54" i="1"/>
  <c r="Q58" i="1"/>
  <c r="Q62" i="1"/>
  <c r="Q6" i="1"/>
  <c r="Q10" i="1"/>
  <c r="Q14" i="1"/>
  <c r="Q18" i="1"/>
  <c r="Q22" i="1"/>
  <c r="Q26" i="1"/>
  <c r="Q30" i="1"/>
  <c r="Q34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<sst xmlns="http://schemas.openxmlformats.org/spreadsheetml/2006/main" count="255" uniqueCount="94">
  <si>
    <t>MRN</t>
  </si>
  <si>
    <t>Code</t>
  </si>
  <si>
    <t>Group</t>
  </si>
  <si>
    <t>DOB</t>
  </si>
  <si>
    <t>Sex</t>
  </si>
  <si>
    <t>collection date</t>
  </si>
  <si>
    <t>collection time</t>
  </si>
  <si>
    <t>Age at collection</t>
  </si>
  <si>
    <t>Primary Dx</t>
  </si>
  <si>
    <t>F</t>
  </si>
  <si>
    <t>75-75-94-4</t>
  </si>
  <si>
    <t>M</t>
  </si>
  <si>
    <t>MDD</t>
  </si>
  <si>
    <t>76-83-47-9</t>
  </si>
  <si>
    <t>77-32-43-0</t>
  </si>
  <si>
    <t>71-95-08-4</t>
  </si>
  <si>
    <t>BD2</t>
  </si>
  <si>
    <t>78-93-03-6</t>
  </si>
  <si>
    <t>79-67-30-5</t>
  </si>
  <si>
    <t>80-28-54-0</t>
  </si>
  <si>
    <t>82-06-59-4</t>
  </si>
  <si>
    <t>82-53-88-2</t>
  </si>
  <si>
    <t>82-97-09-5</t>
  </si>
  <si>
    <t>83-15-37-1</t>
  </si>
  <si>
    <t>83-17-84-7</t>
  </si>
  <si>
    <t>83-49-18-6</t>
  </si>
  <si>
    <t>83-47-16-5</t>
  </si>
  <si>
    <t>83-89-59-7</t>
  </si>
  <si>
    <t>84-99-47-0</t>
  </si>
  <si>
    <t>75-75-94-5</t>
  </si>
  <si>
    <t>75-75-94-6</t>
  </si>
  <si>
    <t>75-75-94-7</t>
  </si>
  <si>
    <t>76-83-47-10</t>
  </si>
  <si>
    <t>76-83-47-11</t>
  </si>
  <si>
    <t>76-83-47-12</t>
  </si>
  <si>
    <t>77-32-43-1</t>
  </si>
  <si>
    <t>77-32-43-2</t>
  </si>
  <si>
    <t>77-32-43-3</t>
  </si>
  <si>
    <t>71-95-08-5</t>
  </si>
  <si>
    <t>71-95-08-6</t>
  </si>
  <si>
    <t>71-95-08-7</t>
  </si>
  <si>
    <t>78-93-03-7</t>
  </si>
  <si>
    <t>78-93-03-8</t>
  </si>
  <si>
    <t>78-93-03-9</t>
  </si>
  <si>
    <t>79-67-30-6</t>
  </si>
  <si>
    <t>79-67-30-7</t>
  </si>
  <si>
    <t>79-67-30-8</t>
  </si>
  <si>
    <t>80-28-54-1</t>
  </si>
  <si>
    <t>80-28-54-2</t>
  </si>
  <si>
    <t>80-28-54-3</t>
  </si>
  <si>
    <t>82-06-59-5</t>
  </si>
  <si>
    <t>82-06-59-6</t>
  </si>
  <si>
    <t>82-06-59-7</t>
  </si>
  <si>
    <t>82-53-88-3</t>
  </si>
  <si>
    <t>82-53-88-4</t>
  </si>
  <si>
    <t>82-53-88-5</t>
  </si>
  <si>
    <t>82-97-09-6</t>
  </si>
  <si>
    <t>82-97-09-7</t>
  </si>
  <si>
    <t>82-97-09-8</t>
  </si>
  <si>
    <t>83-15-37-2</t>
  </si>
  <si>
    <t>83-15-37-3</t>
  </si>
  <si>
    <t>83-15-37-4</t>
  </si>
  <si>
    <t>83-17-84-8</t>
  </si>
  <si>
    <t>83-17-84-9</t>
  </si>
  <si>
    <t>83-17-84-10</t>
  </si>
  <si>
    <t>83-49-18-7</t>
  </si>
  <si>
    <t>83-49-18-8</t>
  </si>
  <si>
    <t>83-49-18-9</t>
  </si>
  <si>
    <t>83-47-16-6</t>
  </si>
  <si>
    <t>83-47-16-7</t>
  </si>
  <si>
    <t>83-47-16-8</t>
  </si>
  <si>
    <t>83-89-59-8</t>
  </si>
  <si>
    <t>83-89-59-9</t>
  </si>
  <si>
    <t>83-89-59-10</t>
  </si>
  <si>
    <t>84-99-47-1</t>
  </si>
  <si>
    <t>84-99-47-2</t>
  </si>
  <si>
    <t>84-99-47-3</t>
  </si>
  <si>
    <t>ACTH</t>
  </si>
  <si>
    <t>CRH</t>
  </si>
  <si>
    <t>Copeptin</t>
  </si>
  <si>
    <t>Timepoint</t>
  </si>
  <si>
    <t>75-31-58-8</t>
  </si>
  <si>
    <t>Sodium_Bl</t>
  </si>
  <si>
    <t>BUN_Bl</t>
  </si>
  <si>
    <t>Glucose_Bl</t>
  </si>
  <si>
    <t>Cr_Bl</t>
  </si>
  <si>
    <t>Osm_Bl</t>
  </si>
  <si>
    <t>Diuretics</t>
  </si>
  <si>
    <t>Lithium</t>
  </si>
  <si>
    <t>42-96-87-4</t>
  </si>
  <si>
    <t>BD1</t>
  </si>
  <si>
    <t>Dx</t>
  </si>
  <si>
    <t>MDE</t>
  </si>
  <si>
    <t>MDE+PTSD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</si>
</sst>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2" fontId="0" fillId="0" borderId="0" xfId="0" applyNumberFormat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14" fontId="6" fillId="0" borderId="0" xfId="0" applyNumberFormat="1" applyFont="1"/>
    <xf numFmtId="20" fontId="6" fillId="0" borderId="0" xfId="0" applyNumberFormat="1" applyFont="1"/>
    <xf numFmtId="1" fontId="6" fillId="0" borderId="0" xfId="0" applyNumberFormat="1" applyFont="1"/>
    <xf numFmtId="2" fontId="6" fillId="0" borderId="0" xfId="0" applyNumberFormat="1" applyFont="1"/>
    <xf numFmtId="2" fontId="7" fillId="0" borderId="0" xfId="0" applyNumberFormat="1" applyFont="1"/>
    <xf numFmtId="14" fontId="8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1" fontId="0" fillId="0" borderId="0" xfId="0" applyNumberFormat="1"/>
    <xf numFmtId="0" fontId="2" fillId="0" borderId="0" xfId="0" applyFont="1"/>
    <xf numFmtId="2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2FA4-D9B5-A141-B306-536FE5852CDC}">
  <dimension ref="A1:U73"/>
  <sheetViews>
    <sheetView tabSelected="1" workbookViewId="0">
      <selection activeCell="R3" sqref="R3"/>
    </sheetView>
  </sheetViews>
  <sheetFormatPr baseColWidth="10" defaultColWidth="8.83203125" defaultRowHeight="16" x14ac:dyDescent="0.2"/>
  <cols>
    <col min="1" max="1" width="10.1640625" bestFit="1" customWidth="1"/>
    <col min="4" max="4" width="10.6640625" bestFit="1" customWidth="1"/>
    <col min="6" max="6" width="14.33203125" bestFit="1" customWidth="1"/>
    <col min="10" max="10" width="11.83203125" customWidth="1"/>
    <col min="11" max="11" width="12.6640625" customWidth="1"/>
    <col min="12" max="12" width="15.33203125" customWidth="1"/>
    <col min="17" max="17" width="8.83203125" style="2"/>
    <col min="20" max="20" width="10.1640625" customWidth="1"/>
  </cols>
  <sheetData>
    <row r="1" spans="1:21" s="1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80</v>
      </c>
      <c r="J1" s="5" t="s">
        <v>77</v>
      </c>
      <c r="K1" s="5" t="s">
        <v>78</v>
      </c>
      <c r="L1" s="5" t="s">
        <v>79</v>
      </c>
      <c r="M1" s="5" t="s">
        <v>82</v>
      </c>
      <c r="N1" s="5" t="s">
        <v>83</v>
      </c>
      <c r="O1" s="5" t="s">
        <v>84</v>
      </c>
      <c r="P1" s="5" t="s">
        <v>85</v>
      </c>
      <c r="Q1" s="18" t="s">
        <v>86</v>
      </c>
      <c r="R1" s="3" t="s">
        <v>87</v>
      </c>
      <c r="S1" s="3" t="s">
        <v>88</v>
      </c>
      <c r="T1" s="5" t="s">
        <v>8</v>
      </c>
      <c r="U1" s="3" t="s">
        <v>91</v>
      </c>
    </row>
    <row r="2" spans="1:21" x14ac:dyDescent="0.2">
      <c r="A2" s="6" t="s">
        <v>10</v>
      </c>
      <c r="B2" s="6">
        <v>103</v>
      </c>
      <c r="C2" s="6">
        <v>1</v>
      </c>
      <c r="D2" s="7">
        <v>32110</v>
      </c>
      <c r="E2" s="6" t="s">
        <v>11</v>
      </c>
      <c r="F2" s="7">
        <v>42549</v>
      </c>
      <c r="G2" s="8">
        <v>0.4513888888888889</v>
      </c>
      <c r="H2" s="9">
        <f t="shared" ref="H2:H33" si="0">(F2-D2)/365.25</f>
        <v>28.580424366872005</v>
      </c>
      <c r="I2" s="6">
        <v>0</v>
      </c>
      <c r="J2" s="10">
        <v>147.5376225856246</v>
      </c>
      <c r="K2" s="10">
        <v>34.171568140977278</v>
      </c>
      <c r="L2" s="6">
        <v>6.3</v>
      </c>
      <c r="M2" s="6">
        <v>144</v>
      </c>
      <c r="N2" s="6">
        <v>9</v>
      </c>
      <c r="O2" s="6">
        <v>96</v>
      </c>
      <c r="P2" s="6">
        <v>0.9</v>
      </c>
      <c r="Q2" s="10">
        <f>2*(M2)+(O2/18)+(N2/2.8)+(P2/10)</f>
        <v>296.63761904761901</v>
      </c>
      <c r="R2" s="6">
        <v>0</v>
      </c>
      <c r="S2" s="6">
        <v>0</v>
      </c>
      <c r="T2" s="6" t="s">
        <v>12</v>
      </c>
      <c r="U2" s="4" t="s">
        <v>92</v>
      </c>
    </row>
    <row r="3" spans="1:21" x14ac:dyDescent="0.2">
      <c r="A3" s="6" t="s">
        <v>29</v>
      </c>
      <c r="B3" s="6">
        <v>103</v>
      </c>
      <c r="C3" s="6">
        <v>1</v>
      </c>
      <c r="D3" s="7">
        <v>32110</v>
      </c>
      <c r="E3" s="6" t="s">
        <v>11</v>
      </c>
      <c r="F3" s="7">
        <v>42557</v>
      </c>
      <c r="G3" s="8">
        <v>0.4236111111111111</v>
      </c>
      <c r="H3" s="9">
        <f t="shared" si="0"/>
        <v>28.602327173169062</v>
      </c>
      <c r="I3" s="6">
        <v>1</v>
      </c>
      <c r="J3" s="10">
        <v>145.16092690825707</v>
      </c>
      <c r="K3" s="10">
        <v>36.596748907984221</v>
      </c>
      <c r="L3" s="6">
        <v>11.7</v>
      </c>
      <c r="M3" s="6">
        <v>144</v>
      </c>
      <c r="N3" s="6">
        <v>9</v>
      </c>
      <c r="O3" s="6">
        <v>96</v>
      </c>
      <c r="P3" s="6">
        <v>0.9</v>
      </c>
      <c r="Q3" s="10">
        <f>2*(M3)+(O3/18)+(N3/2.8)+(P3/10)</f>
        <v>296.63761904761901</v>
      </c>
      <c r="R3" s="6">
        <v>0</v>
      </c>
      <c r="S3" s="6">
        <v>0</v>
      </c>
      <c r="T3" s="6"/>
      <c r="U3" s="4" t="s">
        <v>92</v>
      </c>
    </row>
    <row r="4" spans="1:21" x14ac:dyDescent="0.2">
      <c r="A4" s="6" t="s">
        <v>30</v>
      </c>
      <c r="B4" s="6">
        <v>103</v>
      </c>
      <c r="C4" s="6">
        <v>1</v>
      </c>
      <c r="D4" s="7">
        <v>32110</v>
      </c>
      <c r="E4" s="6" t="s">
        <v>11</v>
      </c>
      <c r="F4" s="7">
        <v>42557</v>
      </c>
      <c r="G4" s="8">
        <v>0.61805555555555558</v>
      </c>
      <c r="H4" s="9">
        <f t="shared" si="0"/>
        <v>28.602327173169062</v>
      </c>
      <c r="I4" s="6">
        <v>2</v>
      </c>
      <c r="J4" s="10">
        <v>143.60941162114199</v>
      </c>
      <c r="K4" s="10">
        <v>36.174680183363662</v>
      </c>
      <c r="L4" s="6">
        <v>4.9000000000000004</v>
      </c>
      <c r="M4" s="6">
        <v>144</v>
      </c>
      <c r="N4" s="6">
        <v>9</v>
      </c>
      <c r="O4" s="6">
        <v>96</v>
      </c>
      <c r="P4" s="6">
        <v>0.9</v>
      </c>
      <c r="Q4" s="10">
        <f>2*(M4)+(O4/18)+(N4/2.8)+(P4/10)</f>
        <v>296.63761904761901</v>
      </c>
      <c r="R4" s="6">
        <v>0</v>
      </c>
      <c r="S4" s="6">
        <v>0</v>
      </c>
      <c r="T4" s="6"/>
      <c r="U4" s="4" t="s">
        <v>92</v>
      </c>
    </row>
    <row r="5" spans="1:21" x14ac:dyDescent="0.2">
      <c r="A5" s="6" t="s">
        <v>31</v>
      </c>
      <c r="B5" s="6">
        <v>103</v>
      </c>
      <c r="C5" s="6">
        <v>1</v>
      </c>
      <c r="D5" s="7">
        <v>32110</v>
      </c>
      <c r="E5" s="6" t="s">
        <v>11</v>
      </c>
      <c r="F5" s="7">
        <v>42558</v>
      </c>
      <c r="G5" s="8">
        <v>0.40277777777777773</v>
      </c>
      <c r="H5" s="9">
        <f t="shared" si="0"/>
        <v>28.605065023956193</v>
      </c>
      <c r="I5" s="6">
        <v>3</v>
      </c>
      <c r="J5" s="10">
        <v>122.86879946569643</v>
      </c>
      <c r="K5" s="10">
        <v>35.75995605962764</v>
      </c>
      <c r="L5" s="6">
        <v>6.2</v>
      </c>
      <c r="M5" s="6">
        <v>144</v>
      </c>
      <c r="N5" s="6">
        <v>9</v>
      </c>
      <c r="O5" s="6">
        <v>96</v>
      </c>
      <c r="P5" s="6">
        <v>0.9</v>
      </c>
      <c r="Q5" s="10">
        <f>2*(M5)+(O5/18)+(N5/2.8)+(P5/10)</f>
        <v>296.63761904761901</v>
      </c>
      <c r="R5" s="6">
        <v>0</v>
      </c>
      <c r="S5" s="6">
        <v>0</v>
      </c>
      <c r="T5" s="6"/>
      <c r="U5" s="4" t="s">
        <v>92</v>
      </c>
    </row>
    <row r="6" spans="1:21" x14ac:dyDescent="0.2">
      <c r="A6" s="6" t="s">
        <v>13</v>
      </c>
      <c r="B6" s="6">
        <v>105</v>
      </c>
      <c r="C6" s="6">
        <v>1</v>
      </c>
      <c r="D6" s="7">
        <v>20790</v>
      </c>
      <c r="E6" s="6" t="s">
        <v>11</v>
      </c>
      <c r="F6" s="7">
        <v>42828</v>
      </c>
      <c r="G6" s="8">
        <v>0.41666666666666669</v>
      </c>
      <c r="H6" s="9">
        <f t="shared" si="0"/>
        <v>60.336755646817245</v>
      </c>
      <c r="I6" s="6">
        <v>0</v>
      </c>
      <c r="J6" s="11">
        <v>79.532048069294049</v>
      </c>
      <c r="K6" s="11">
        <v>19.318493668156787</v>
      </c>
      <c r="L6" s="6">
        <v>11.4</v>
      </c>
      <c r="M6" s="6">
        <v>144</v>
      </c>
      <c r="N6" s="6">
        <v>19</v>
      </c>
      <c r="O6" s="6">
        <v>107</v>
      </c>
      <c r="P6" s="6">
        <v>1.07</v>
      </c>
      <c r="Q6" s="10">
        <f t="shared" ref="Q6:Q30" si="1">2*(M6)+(O6/18)+(N6/2.8)+(P6/10)</f>
        <v>300.83715873015876</v>
      </c>
      <c r="R6" s="6">
        <v>0</v>
      </c>
      <c r="S6" s="6">
        <v>0</v>
      </c>
      <c r="T6" s="6" t="s">
        <v>12</v>
      </c>
      <c r="U6" s="4" t="s">
        <v>92</v>
      </c>
    </row>
    <row r="7" spans="1:21" x14ac:dyDescent="0.2">
      <c r="A7" s="6" t="s">
        <v>32</v>
      </c>
      <c r="B7" s="6">
        <v>105</v>
      </c>
      <c r="C7" s="6">
        <v>1</v>
      </c>
      <c r="D7" s="7">
        <v>20790</v>
      </c>
      <c r="E7" s="6" t="s">
        <v>11</v>
      </c>
      <c r="F7" s="7">
        <v>42829</v>
      </c>
      <c r="G7" s="8">
        <v>0.39583333333333331</v>
      </c>
      <c r="H7" s="9">
        <f t="shared" si="0"/>
        <v>60.33949349760438</v>
      </c>
      <c r="I7" s="6">
        <v>1</v>
      </c>
      <c r="J7" s="10">
        <v>83.93638966704097</v>
      </c>
      <c r="K7" s="10">
        <v>19.035592536443168</v>
      </c>
      <c r="L7" s="6">
        <v>13.8</v>
      </c>
      <c r="M7" s="6">
        <v>144</v>
      </c>
      <c r="N7" s="6">
        <v>19</v>
      </c>
      <c r="O7" s="6">
        <v>107</v>
      </c>
      <c r="P7" s="6">
        <v>1.07</v>
      </c>
      <c r="Q7" s="10">
        <f t="shared" ref="Q7:Q9" si="2">2*(M7)+(O7/18)+(N7/2.8)+(P7/10)</f>
        <v>300.83715873015876</v>
      </c>
      <c r="R7" s="6">
        <v>0</v>
      </c>
      <c r="S7" s="6">
        <v>0</v>
      </c>
      <c r="T7" s="6"/>
      <c r="U7" s="4" t="s">
        <v>92</v>
      </c>
    </row>
    <row r="8" spans="1:21" x14ac:dyDescent="0.2">
      <c r="A8" s="6" t="s">
        <v>33</v>
      </c>
      <c r="B8" s="6">
        <v>105</v>
      </c>
      <c r="C8" s="6">
        <v>1</v>
      </c>
      <c r="D8" s="7">
        <v>20790</v>
      </c>
      <c r="E8" s="6" t="s">
        <v>11</v>
      </c>
      <c r="F8" s="7">
        <v>42829</v>
      </c>
      <c r="G8" s="8">
        <v>0.59375</v>
      </c>
      <c r="H8" s="9">
        <f t="shared" si="0"/>
        <v>60.33949349760438</v>
      </c>
      <c r="I8" s="6">
        <v>2</v>
      </c>
      <c r="J8" s="10">
        <v>72.387639469695827</v>
      </c>
      <c r="K8" s="10">
        <v>18.614774442979233</v>
      </c>
      <c r="L8" s="6">
        <v>9.1999999999999993</v>
      </c>
      <c r="M8" s="6">
        <v>144</v>
      </c>
      <c r="N8" s="6">
        <v>19</v>
      </c>
      <c r="O8" s="6">
        <v>107</v>
      </c>
      <c r="P8" s="6">
        <v>1.07</v>
      </c>
      <c r="Q8" s="10">
        <f t="shared" si="2"/>
        <v>300.83715873015876</v>
      </c>
      <c r="R8" s="6">
        <v>0</v>
      </c>
      <c r="S8" s="6">
        <v>0</v>
      </c>
      <c r="T8" s="6"/>
      <c r="U8" s="4" t="s">
        <v>92</v>
      </c>
    </row>
    <row r="9" spans="1:21" x14ac:dyDescent="0.2">
      <c r="A9" s="6" t="s">
        <v>34</v>
      </c>
      <c r="B9" s="6">
        <v>105</v>
      </c>
      <c r="C9" s="6">
        <v>1</v>
      </c>
      <c r="D9" s="7">
        <v>20790</v>
      </c>
      <c r="E9" s="6" t="s">
        <v>11</v>
      </c>
      <c r="F9" s="7">
        <v>42830</v>
      </c>
      <c r="G9" s="8">
        <v>0.40972222222222227</v>
      </c>
      <c r="H9" s="9">
        <f t="shared" si="0"/>
        <v>60.342231348391515</v>
      </c>
      <c r="I9" s="6">
        <v>3</v>
      </c>
      <c r="J9" s="10">
        <v>81.601618264232982</v>
      </c>
      <c r="K9" s="10">
        <v>24.388732009839028</v>
      </c>
      <c r="L9" s="6">
        <v>11</v>
      </c>
      <c r="M9" s="6">
        <v>144</v>
      </c>
      <c r="N9" s="6">
        <v>19</v>
      </c>
      <c r="O9" s="6">
        <v>107</v>
      </c>
      <c r="P9" s="6">
        <v>1.07</v>
      </c>
      <c r="Q9" s="10">
        <f t="shared" si="2"/>
        <v>300.83715873015876</v>
      </c>
      <c r="R9" s="6">
        <v>0</v>
      </c>
      <c r="S9" s="6">
        <v>0</v>
      </c>
      <c r="T9" s="6"/>
      <c r="U9" s="4" t="s">
        <v>92</v>
      </c>
    </row>
    <row r="10" spans="1:21" x14ac:dyDescent="0.2">
      <c r="A10" s="6" t="s">
        <v>14</v>
      </c>
      <c r="B10" s="6">
        <v>107</v>
      </c>
      <c r="C10" s="6">
        <v>1</v>
      </c>
      <c r="D10" s="7">
        <v>24155</v>
      </c>
      <c r="E10" s="6" t="s">
        <v>9</v>
      </c>
      <c r="F10" s="12">
        <v>42956</v>
      </c>
      <c r="G10" s="8">
        <v>0.57291666666666663</v>
      </c>
      <c r="H10" s="9">
        <f t="shared" si="0"/>
        <v>51.474332648870636</v>
      </c>
      <c r="I10" s="6">
        <v>0</v>
      </c>
      <c r="J10" s="10">
        <v>69.092371813126988</v>
      </c>
      <c r="K10" s="10">
        <v>18.329226694319544</v>
      </c>
      <c r="L10" s="6">
        <v>0</v>
      </c>
      <c r="M10" s="6">
        <v>142</v>
      </c>
      <c r="N10" s="6">
        <v>13</v>
      </c>
      <c r="O10" s="6">
        <v>80</v>
      </c>
      <c r="P10" s="6">
        <v>0.9</v>
      </c>
      <c r="Q10" s="10">
        <f t="shared" si="1"/>
        <v>293.1773015873016</v>
      </c>
      <c r="R10" s="6">
        <v>0</v>
      </c>
      <c r="S10" s="6">
        <v>0</v>
      </c>
      <c r="T10" s="6" t="s">
        <v>12</v>
      </c>
      <c r="U10" s="4" t="s">
        <v>92</v>
      </c>
    </row>
    <row r="11" spans="1:21" x14ac:dyDescent="0.2">
      <c r="A11" s="6" t="s">
        <v>35</v>
      </c>
      <c r="B11" s="6">
        <v>107</v>
      </c>
      <c r="C11" s="6">
        <v>1</v>
      </c>
      <c r="D11" s="7">
        <v>24155</v>
      </c>
      <c r="E11" s="6" t="s">
        <v>9</v>
      </c>
      <c r="F11" s="7">
        <v>42962</v>
      </c>
      <c r="G11" s="8">
        <v>0.41319444444444442</v>
      </c>
      <c r="H11" s="9">
        <f t="shared" si="0"/>
        <v>51.49075975359343</v>
      </c>
      <c r="I11" s="6">
        <v>1</v>
      </c>
      <c r="J11" s="10">
        <v>56.492159314741905</v>
      </c>
      <c r="K11" s="10">
        <v>14.425905631589766</v>
      </c>
      <c r="L11" s="6">
        <v>3.6</v>
      </c>
      <c r="M11" s="6">
        <v>142</v>
      </c>
      <c r="N11" s="6">
        <v>13</v>
      </c>
      <c r="O11" s="6">
        <v>80</v>
      </c>
      <c r="P11" s="6">
        <v>0.9</v>
      </c>
      <c r="Q11" s="10">
        <f t="shared" ref="Q11:Q13" si="3">2*(M11)+(O11/18)+(N11/2.8)+(P11/10)</f>
        <v>293.1773015873016</v>
      </c>
      <c r="R11" s="6">
        <v>0</v>
      </c>
      <c r="S11" s="6">
        <v>0</v>
      </c>
      <c r="T11" s="6"/>
      <c r="U11" s="4" t="s">
        <v>92</v>
      </c>
    </row>
    <row r="12" spans="1:21" x14ac:dyDescent="0.2">
      <c r="A12" s="6" t="s">
        <v>36</v>
      </c>
      <c r="B12" s="6">
        <v>107</v>
      </c>
      <c r="C12" s="6">
        <v>1</v>
      </c>
      <c r="D12" s="7">
        <v>24155</v>
      </c>
      <c r="E12" s="6" t="s">
        <v>9</v>
      </c>
      <c r="F12" s="7">
        <v>42962</v>
      </c>
      <c r="G12" s="8">
        <v>0.58333333333333337</v>
      </c>
      <c r="H12" s="9">
        <f t="shared" si="0"/>
        <v>51.49075975359343</v>
      </c>
      <c r="I12" s="6">
        <v>2</v>
      </c>
      <c r="J12" s="10">
        <v>62.519398354758493</v>
      </c>
      <c r="K12" s="10">
        <v>14.695835150633677</v>
      </c>
      <c r="L12" s="6">
        <v>0</v>
      </c>
      <c r="M12" s="6">
        <v>142</v>
      </c>
      <c r="N12" s="6">
        <v>13</v>
      </c>
      <c r="O12" s="6">
        <v>80</v>
      </c>
      <c r="P12" s="6">
        <v>0.9</v>
      </c>
      <c r="Q12" s="10">
        <f t="shared" si="3"/>
        <v>293.1773015873016</v>
      </c>
      <c r="R12" s="6">
        <v>0</v>
      </c>
      <c r="S12" s="6">
        <v>0</v>
      </c>
      <c r="T12" s="6"/>
      <c r="U12" s="4" t="s">
        <v>92</v>
      </c>
    </row>
    <row r="13" spans="1:21" x14ac:dyDescent="0.2">
      <c r="A13" s="6" t="s">
        <v>37</v>
      </c>
      <c r="B13" s="6">
        <v>107</v>
      </c>
      <c r="C13" s="6">
        <v>1</v>
      </c>
      <c r="D13" s="7">
        <v>24155</v>
      </c>
      <c r="E13" s="6" t="s">
        <v>9</v>
      </c>
      <c r="F13" s="7">
        <v>42963</v>
      </c>
      <c r="G13" s="8">
        <v>0.27430555555555552</v>
      </c>
      <c r="H13" s="9">
        <f t="shared" si="0"/>
        <v>51.493497604380565</v>
      </c>
      <c r="I13" s="6">
        <v>3</v>
      </c>
      <c r="J13" s="10">
        <v>59.163351896561828</v>
      </c>
      <c r="K13" s="10">
        <v>13.357137377715988</v>
      </c>
      <c r="L13" s="6">
        <v>0</v>
      </c>
      <c r="M13" s="6">
        <v>142</v>
      </c>
      <c r="N13" s="6">
        <v>13</v>
      </c>
      <c r="O13" s="6">
        <v>80</v>
      </c>
      <c r="P13" s="6">
        <v>0.9</v>
      </c>
      <c r="Q13" s="10">
        <f t="shared" si="3"/>
        <v>293.1773015873016</v>
      </c>
      <c r="R13" s="6">
        <v>0</v>
      </c>
      <c r="S13" s="6">
        <v>0</v>
      </c>
      <c r="T13" s="6"/>
      <c r="U13" s="4" t="s">
        <v>92</v>
      </c>
    </row>
    <row r="14" spans="1:21" x14ac:dyDescent="0.2">
      <c r="A14" s="6" t="s">
        <v>15</v>
      </c>
      <c r="B14" s="6">
        <v>108</v>
      </c>
      <c r="C14" s="6">
        <v>1</v>
      </c>
      <c r="D14" s="7">
        <v>27226</v>
      </c>
      <c r="E14" s="6" t="s">
        <v>9</v>
      </c>
      <c r="F14" s="7">
        <v>43005</v>
      </c>
      <c r="G14" s="8">
        <v>0.30208333333333331</v>
      </c>
      <c r="H14" s="9">
        <f t="shared" si="0"/>
        <v>43.200547570157426</v>
      </c>
      <c r="I14" s="6">
        <v>0</v>
      </c>
      <c r="J14" s="10">
        <v>55.988690040011655</v>
      </c>
      <c r="K14" s="10">
        <v>18.716270828525914</v>
      </c>
      <c r="L14" s="6">
        <v>0</v>
      </c>
      <c r="M14" s="6">
        <v>146</v>
      </c>
      <c r="N14" s="6">
        <v>11</v>
      </c>
      <c r="O14" s="6">
        <v>89</v>
      </c>
      <c r="P14" s="6">
        <v>0.99</v>
      </c>
      <c r="Q14" s="10">
        <f t="shared" si="1"/>
        <v>300.97201587301589</v>
      </c>
      <c r="R14" s="6">
        <v>0</v>
      </c>
      <c r="S14" s="6">
        <v>0</v>
      </c>
      <c r="T14" s="6" t="s">
        <v>16</v>
      </c>
      <c r="U14" s="4" t="s">
        <v>92</v>
      </c>
    </row>
    <row r="15" spans="1:21" x14ac:dyDescent="0.2">
      <c r="A15" s="6" t="s">
        <v>38</v>
      </c>
      <c r="B15" s="6">
        <v>108</v>
      </c>
      <c r="C15" s="6">
        <v>1</v>
      </c>
      <c r="D15" s="7">
        <v>27226</v>
      </c>
      <c r="E15" s="6" t="s">
        <v>9</v>
      </c>
      <c r="F15" s="7">
        <v>43011</v>
      </c>
      <c r="G15" s="8">
        <v>0.41666666666666669</v>
      </c>
      <c r="H15" s="9">
        <f t="shared" si="0"/>
        <v>43.21697467488022</v>
      </c>
      <c r="I15" s="6">
        <v>1</v>
      </c>
      <c r="J15" s="10">
        <v>55.876672425040411</v>
      </c>
      <c r="K15" s="10">
        <v>17.748665416193344</v>
      </c>
      <c r="L15" s="6">
        <v>3</v>
      </c>
      <c r="M15" s="6">
        <v>146</v>
      </c>
      <c r="N15" s="6">
        <v>11</v>
      </c>
      <c r="O15" s="6">
        <v>89</v>
      </c>
      <c r="P15" s="6">
        <v>0.99</v>
      </c>
      <c r="Q15" s="10">
        <f t="shared" ref="Q15:Q17" si="4">2*(M15)+(O15/18)+(N15/2.8)+(P15/10)</f>
        <v>300.97201587301589</v>
      </c>
      <c r="R15" s="6">
        <v>0</v>
      </c>
      <c r="S15" s="6">
        <v>0</v>
      </c>
      <c r="T15" s="6"/>
      <c r="U15" s="4" t="s">
        <v>92</v>
      </c>
    </row>
    <row r="16" spans="1:21" x14ac:dyDescent="0.2">
      <c r="A16" s="6" t="s">
        <v>39</v>
      </c>
      <c r="B16" s="6">
        <v>108</v>
      </c>
      <c r="C16" s="6">
        <v>1</v>
      </c>
      <c r="D16" s="7">
        <v>27226</v>
      </c>
      <c r="E16" s="6" t="s">
        <v>9</v>
      </c>
      <c r="F16" s="7">
        <v>43011</v>
      </c>
      <c r="G16" s="8">
        <v>0.57638888888888895</v>
      </c>
      <c r="H16" s="9">
        <f t="shared" si="0"/>
        <v>43.21697467488022</v>
      </c>
      <c r="I16" s="6">
        <v>2</v>
      </c>
      <c r="J16" s="10">
        <v>54.189233057877438</v>
      </c>
      <c r="K16" s="10">
        <v>17.041996054048436</v>
      </c>
      <c r="L16" s="6">
        <v>0</v>
      </c>
      <c r="M16" s="6">
        <v>146</v>
      </c>
      <c r="N16" s="6">
        <v>11</v>
      </c>
      <c r="O16" s="6">
        <v>89</v>
      </c>
      <c r="P16" s="6">
        <v>0.99</v>
      </c>
      <c r="Q16" s="10">
        <f t="shared" si="4"/>
        <v>300.97201587301589</v>
      </c>
      <c r="R16" s="6">
        <v>0</v>
      </c>
      <c r="S16" s="6">
        <v>0</v>
      </c>
      <c r="T16" s="6"/>
      <c r="U16" s="4" t="s">
        <v>92</v>
      </c>
    </row>
    <row r="17" spans="1:21" x14ac:dyDescent="0.2">
      <c r="A17" s="6" t="s">
        <v>40</v>
      </c>
      <c r="B17" s="6">
        <v>108</v>
      </c>
      <c r="C17" s="6">
        <v>1</v>
      </c>
      <c r="D17" s="7">
        <v>27226</v>
      </c>
      <c r="E17" s="6" t="s">
        <v>9</v>
      </c>
      <c r="F17" s="7">
        <v>43012</v>
      </c>
      <c r="G17" s="8">
        <v>0.31944444444444448</v>
      </c>
      <c r="H17" s="9">
        <f t="shared" si="0"/>
        <v>43.219712525667354</v>
      </c>
      <c r="I17" s="6">
        <v>3</v>
      </c>
      <c r="J17" s="10">
        <v>48.978811066687641</v>
      </c>
      <c r="K17" s="10">
        <v>13.51948743883117</v>
      </c>
      <c r="L17" s="6">
        <v>3</v>
      </c>
      <c r="M17" s="6">
        <v>146</v>
      </c>
      <c r="N17" s="6">
        <v>11</v>
      </c>
      <c r="O17" s="6">
        <v>89</v>
      </c>
      <c r="P17" s="6">
        <v>0.99</v>
      </c>
      <c r="Q17" s="10">
        <f t="shared" si="4"/>
        <v>300.97201587301589</v>
      </c>
      <c r="R17" s="6">
        <v>0</v>
      </c>
      <c r="S17" s="6">
        <v>0</v>
      </c>
      <c r="T17" s="6"/>
      <c r="U17" s="4" t="s">
        <v>92</v>
      </c>
    </row>
    <row r="18" spans="1:21" x14ac:dyDescent="0.2">
      <c r="A18" s="6" t="s">
        <v>17</v>
      </c>
      <c r="B18" s="6">
        <v>110</v>
      </c>
      <c r="C18" s="6">
        <v>1</v>
      </c>
      <c r="D18" s="7">
        <v>31552</v>
      </c>
      <c r="E18" s="6" t="s">
        <v>11</v>
      </c>
      <c r="F18" s="7">
        <v>43469</v>
      </c>
      <c r="G18" s="8">
        <v>0.41666666666666669</v>
      </c>
      <c r="H18" s="9">
        <f t="shared" si="0"/>
        <v>32.62696783025325</v>
      </c>
      <c r="I18" s="6">
        <v>0</v>
      </c>
      <c r="J18" s="10">
        <v>184.87514771654216</v>
      </c>
      <c r="K18" s="10">
        <v>43.3376403998776</v>
      </c>
      <c r="L18" s="6">
        <v>6.6</v>
      </c>
      <c r="M18" s="6">
        <v>142</v>
      </c>
      <c r="N18" s="6">
        <v>14</v>
      </c>
      <c r="O18" s="6">
        <v>104</v>
      </c>
      <c r="P18" s="6">
        <v>0.97</v>
      </c>
      <c r="Q18" s="10">
        <f t="shared" si="1"/>
        <v>294.87477777777775</v>
      </c>
      <c r="R18" s="6">
        <v>0</v>
      </c>
      <c r="S18" s="6">
        <v>0</v>
      </c>
      <c r="T18" s="6" t="s">
        <v>12</v>
      </c>
      <c r="U18" t="s">
        <v>92</v>
      </c>
    </row>
    <row r="19" spans="1:21" x14ac:dyDescent="0.2">
      <c r="A19" s="6" t="s">
        <v>41</v>
      </c>
      <c r="B19" s="6">
        <v>110</v>
      </c>
      <c r="C19" s="6">
        <v>1</v>
      </c>
      <c r="D19" s="7">
        <v>31552</v>
      </c>
      <c r="E19" s="6" t="s">
        <v>11</v>
      </c>
      <c r="F19" s="7">
        <v>43475</v>
      </c>
      <c r="G19" s="8">
        <v>0.41666666666666669</v>
      </c>
      <c r="H19" s="9">
        <f t="shared" si="0"/>
        <v>32.643394934976044</v>
      </c>
      <c r="I19" s="6">
        <v>1</v>
      </c>
      <c r="J19" s="10">
        <v>285.69208191797185</v>
      </c>
      <c r="K19" s="10">
        <v>51.104432703304568</v>
      </c>
      <c r="L19" s="6">
        <v>15.6</v>
      </c>
      <c r="M19" s="6">
        <v>142</v>
      </c>
      <c r="N19" s="6">
        <v>14</v>
      </c>
      <c r="O19" s="6">
        <v>104</v>
      </c>
      <c r="P19" s="6">
        <v>0.97</v>
      </c>
      <c r="Q19" s="10">
        <f t="shared" ref="Q19:Q21" si="5">2*(M19)+(O19/18)+(N19/2.8)+(P19/10)</f>
        <v>294.87477777777775</v>
      </c>
      <c r="R19" s="6">
        <v>0</v>
      </c>
      <c r="S19" s="6">
        <v>0</v>
      </c>
      <c r="T19" s="6"/>
      <c r="U19" t="s">
        <v>92</v>
      </c>
    </row>
    <row r="20" spans="1:21" x14ac:dyDescent="0.2">
      <c r="A20" s="6" t="s">
        <v>42</v>
      </c>
      <c r="B20" s="6">
        <v>110</v>
      </c>
      <c r="C20" s="6">
        <v>1</v>
      </c>
      <c r="D20" s="7">
        <v>31552</v>
      </c>
      <c r="E20" s="6" t="s">
        <v>11</v>
      </c>
      <c r="F20" s="7">
        <v>43475</v>
      </c>
      <c r="G20" s="8">
        <v>0.61458333333333337</v>
      </c>
      <c r="H20" s="9">
        <f t="shared" si="0"/>
        <v>32.643394934976044</v>
      </c>
      <c r="I20" s="6">
        <v>2</v>
      </c>
      <c r="J20" s="10">
        <v>167.61805470207742</v>
      </c>
      <c r="K20" s="10">
        <v>51.9905972966178</v>
      </c>
      <c r="L20" s="6">
        <v>11.9</v>
      </c>
      <c r="M20" s="6">
        <v>142</v>
      </c>
      <c r="N20" s="6">
        <v>14</v>
      </c>
      <c r="O20" s="6">
        <v>104</v>
      </c>
      <c r="P20" s="6">
        <v>0.97</v>
      </c>
      <c r="Q20" s="10">
        <f t="shared" si="5"/>
        <v>294.87477777777775</v>
      </c>
      <c r="R20" s="6">
        <v>0</v>
      </c>
      <c r="S20" s="6">
        <v>0</v>
      </c>
      <c r="T20" s="6"/>
      <c r="U20" t="s">
        <v>92</v>
      </c>
    </row>
    <row r="21" spans="1:21" x14ac:dyDescent="0.2">
      <c r="A21" s="6" t="s">
        <v>43</v>
      </c>
      <c r="B21" s="6">
        <v>110</v>
      </c>
      <c r="C21" s="6">
        <v>1</v>
      </c>
      <c r="D21" s="7">
        <v>31552</v>
      </c>
      <c r="E21" s="6" t="s">
        <v>11</v>
      </c>
      <c r="F21" s="7">
        <v>43476</v>
      </c>
      <c r="G21" s="8">
        <v>0.45833333333333331</v>
      </c>
      <c r="H21" s="9">
        <f t="shared" si="0"/>
        <v>32.646132785763179</v>
      </c>
      <c r="I21" s="6">
        <v>3</v>
      </c>
      <c r="J21" s="10">
        <v>221.82719254262523</v>
      </c>
      <c r="K21" s="10">
        <v>42.325109402431437</v>
      </c>
      <c r="L21" s="6">
        <v>8.9</v>
      </c>
      <c r="M21" s="6">
        <v>142</v>
      </c>
      <c r="N21" s="6">
        <v>14</v>
      </c>
      <c r="O21" s="6">
        <v>104</v>
      </c>
      <c r="P21" s="6">
        <v>0.97</v>
      </c>
      <c r="Q21" s="10">
        <f t="shared" si="5"/>
        <v>294.87477777777775</v>
      </c>
      <c r="R21" s="6">
        <v>0</v>
      </c>
      <c r="S21" s="6">
        <v>0</v>
      </c>
      <c r="T21" s="6"/>
      <c r="U21" t="s">
        <v>92</v>
      </c>
    </row>
    <row r="22" spans="1:21" x14ac:dyDescent="0.2">
      <c r="A22" s="6" t="s">
        <v>18</v>
      </c>
      <c r="B22" s="6">
        <v>112</v>
      </c>
      <c r="C22" s="6">
        <v>1</v>
      </c>
      <c r="D22" s="7">
        <v>35676</v>
      </c>
      <c r="E22" s="6" t="s">
        <v>11</v>
      </c>
      <c r="F22" s="7">
        <v>43649</v>
      </c>
      <c r="G22" s="8">
        <v>0.5</v>
      </c>
      <c r="H22" s="9">
        <f t="shared" si="0"/>
        <v>21.828884325804243</v>
      </c>
      <c r="I22" s="6">
        <v>0</v>
      </c>
      <c r="J22" s="10">
        <v>66.627307962786276</v>
      </c>
      <c r="K22" s="10">
        <v>10.849957442279052</v>
      </c>
      <c r="L22" s="6">
        <v>3.3</v>
      </c>
      <c r="M22" s="6">
        <v>144</v>
      </c>
      <c r="N22" s="6">
        <v>14</v>
      </c>
      <c r="O22" s="6">
        <v>68</v>
      </c>
      <c r="P22" s="6">
        <v>0.93</v>
      </c>
      <c r="Q22" s="10">
        <f t="shared" si="1"/>
        <v>296.87077777777779</v>
      </c>
      <c r="R22" s="6">
        <v>0</v>
      </c>
      <c r="S22" s="6">
        <v>0</v>
      </c>
      <c r="T22" s="6" t="s">
        <v>12</v>
      </c>
      <c r="U22" t="s">
        <v>92</v>
      </c>
    </row>
    <row r="23" spans="1:21" x14ac:dyDescent="0.2">
      <c r="A23" s="6" t="s">
        <v>44</v>
      </c>
      <c r="B23" s="6">
        <v>112</v>
      </c>
      <c r="C23" s="6">
        <v>1</v>
      </c>
      <c r="D23" s="7">
        <v>35676</v>
      </c>
      <c r="E23" s="6" t="s">
        <v>11</v>
      </c>
      <c r="F23" s="7">
        <v>43656</v>
      </c>
      <c r="G23" s="8">
        <v>0.36805555555555558</v>
      </c>
      <c r="H23" s="9">
        <f t="shared" si="0"/>
        <v>21.848049281314168</v>
      </c>
      <c r="I23" s="6">
        <v>1</v>
      </c>
      <c r="J23" s="10">
        <v>63.064118862344138</v>
      </c>
      <c r="K23" s="10">
        <v>10.686014801359509</v>
      </c>
      <c r="L23" s="6">
        <v>3.8</v>
      </c>
      <c r="M23" s="6">
        <v>144</v>
      </c>
      <c r="N23" s="6">
        <v>14</v>
      </c>
      <c r="O23" s="6">
        <v>68</v>
      </c>
      <c r="P23" s="6">
        <v>0.93</v>
      </c>
      <c r="Q23" s="10">
        <f t="shared" ref="Q23" si="6">2*(M23)+(O23/18)+(N23/2.8)+(P23/10)</f>
        <v>296.87077777777779</v>
      </c>
      <c r="R23" s="6">
        <v>0</v>
      </c>
      <c r="S23" s="6">
        <v>0</v>
      </c>
      <c r="T23" s="6"/>
      <c r="U23" t="s">
        <v>92</v>
      </c>
    </row>
    <row r="24" spans="1:21" x14ac:dyDescent="0.2">
      <c r="A24" s="6" t="s">
        <v>45</v>
      </c>
      <c r="B24" s="6">
        <v>112</v>
      </c>
      <c r="C24" s="6">
        <v>1</v>
      </c>
      <c r="D24" s="7">
        <v>35676</v>
      </c>
      <c r="E24" s="6" t="s">
        <v>11</v>
      </c>
      <c r="F24" s="7">
        <v>43656</v>
      </c>
      <c r="G24" s="8">
        <v>0.59722222222222221</v>
      </c>
      <c r="H24" s="9">
        <f t="shared" si="0"/>
        <v>21.848049281314168</v>
      </c>
      <c r="I24" s="6">
        <v>2</v>
      </c>
      <c r="J24" s="10">
        <v>64.663079094617217</v>
      </c>
      <c r="K24" s="10">
        <v>10.999339506541785</v>
      </c>
      <c r="L24" s="6">
        <v>3.2</v>
      </c>
      <c r="M24" s="13">
        <v>144</v>
      </c>
      <c r="N24" s="13">
        <v>14</v>
      </c>
      <c r="O24" s="13">
        <v>68</v>
      </c>
      <c r="P24" s="13">
        <v>0.93</v>
      </c>
      <c r="Q24" s="11">
        <v>296.87079999999997</v>
      </c>
      <c r="R24" s="6">
        <v>0</v>
      </c>
      <c r="S24" s="6">
        <v>0</v>
      </c>
      <c r="T24" s="6"/>
      <c r="U24" t="s">
        <v>92</v>
      </c>
    </row>
    <row r="25" spans="1:21" x14ac:dyDescent="0.2">
      <c r="A25" s="6" t="s">
        <v>46</v>
      </c>
      <c r="B25" s="6">
        <v>112</v>
      </c>
      <c r="C25" s="6">
        <v>1</v>
      </c>
      <c r="D25" s="7">
        <v>35676</v>
      </c>
      <c r="E25" s="6" t="s">
        <v>11</v>
      </c>
      <c r="F25" s="7">
        <v>43657</v>
      </c>
      <c r="G25" s="8">
        <v>0.48958333333333331</v>
      </c>
      <c r="H25" s="9">
        <f t="shared" si="0"/>
        <v>21.850787132101299</v>
      </c>
      <c r="I25" s="6">
        <v>3</v>
      </c>
      <c r="J25" s="10">
        <v>59.597427013407483</v>
      </c>
      <c r="K25" s="10">
        <v>10.323790836701523</v>
      </c>
      <c r="L25" s="6">
        <v>0</v>
      </c>
      <c r="M25" s="13">
        <v>144</v>
      </c>
      <c r="N25" s="13">
        <v>14</v>
      </c>
      <c r="O25" s="13">
        <v>68</v>
      </c>
      <c r="P25" s="13">
        <v>0.93</v>
      </c>
      <c r="Q25" s="11">
        <v>296.87079999999997</v>
      </c>
      <c r="R25" s="6">
        <v>0</v>
      </c>
      <c r="S25" s="6">
        <v>0</v>
      </c>
      <c r="T25" s="6"/>
      <c r="U25" t="s">
        <v>92</v>
      </c>
    </row>
    <row r="26" spans="1:21" x14ac:dyDescent="0.2">
      <c r="A26" s="6" t="s">
        <v>19</v>
      </c>
      <c r="B26" s="6">
        <v>113</v>
      </c>
      <c r="C26" s="6">
        <v>1</v>
      </c>
      <c r="D26" s="7">
        <v>35119</v>
      </c>
      <c r="E26" s="6" t="s">
        <v>9</v>
      </c>
      <c r="F26" s="7">
        <v>43756</v>
      </c>
      <c r="G26" s="8">
        <v>0.2986111111111111</v>
      </c>
      <c r="H26" s="9">
        <f t="shared" si="0"/>
        <v>23.646817248459961</v>
      </c>
      <c r="I26" s="6">
        <v>0</v>
      </c>
      <c r="J26" s="10">
        <v>103.71956157432111</v>
      </c>
      <c r="K26" s="10">
        <v>22.634142570983741</v>
      </c>
      <c r="L26" s="6">
        <v>3.7</v>
      </c>
      <c r="M26" s="6">
        <v>139</v>
      </c>
      <c r="N26" s="6">
        <v>12</v>
      </c>
      <c r="O26" s="6">
        <v>89</v>
      </c>
      <c r="P26" s="6">
        <v>0.67</v>
      </c>
      <c r="Q26" s="10">
        <f t="shared" si="1"/>
        <v>287.29715873015874</v>
      </c>
      <c r="R26" s="6">
        <v>0</v>
      </c>
      <c r="S26" s="6">
        <v>0</v>
      </c>
      <c r="T26" s="6" t="s">
        <v>12</v>
      </c>
      <c r="U26" t="s">
        <v>92</v>
      </c>
    </row>
    <row r="27" spans="1:21" x14ac:dyDescent="0.2">
      <c r="A27" s="6" t="s">
        <v>47</v>
      </c>
      <c r="B27" s="6">
        <v>113</v>
      </c>
      <c r="C27" s="6">
        <v>1</v>
      </c>
      <c r="D27" s="7">
        <v>35119</v>
      </c>
      <c r="E27" s="6" t="s">
        <v>9</v>
      </c>
      <c r="F27" s="7">
        <v>43762</v>
      </c>
      <c r="G27" s="8">
        <v>0.40972222222222227</v>
      </c>
      <c r="H27" s="9">
        <f t="shared" si="0"/>
        <v>23.663244353182751</v>
      </c>
      <c r="I27" s="6">
        <v>1</v>
      </c>
      <c r="J27" s="10">
        <v>84.679315127749106</v>
      </c>
      <c r="K27" s="10">
        <v>15.777386950147163</v>
      </c>
      <c r="L27" s="6">
        <v>6</v>
      </c>
      <c r="M27" s="6">
        <v>139</v>
      </c>
      <c r="N27" s="6">
        <v>12</v>
      </c>
      <c r="O27" s="6">
        <v>89</v>
      </c>
      <c r="P27" s="6">
        <v>0.67</v>
      </c>
      <c r="Q27" s="10">
        <f t="shared" ref="Q27:Q29" si="7">2*(M27)+(O27/18)+(N27/2.8)+(P27/10)</f>
        <v>287.29715873015874</v>
      </c>
      <c r="R27" s="6">
        <v>0</v>
      </c>
      <c r="S27" s="6">
        <v>0</v>
      </c>
      <c r="T27" s="6"/>
      <c r="U27" t="s">
        <v>92</v>
      </c>
    </row>
    <row r="28" spans="1:21" x14ac:dyDescent="0.2">
      <c r="A28" s="6" t="s">
        <v>48</v>
      </c>
      <c r="B28" s="6">
        <v>113</v>
      </c>
      <c r="C28" s="6">
        <v>1</v>
      </c>
      <c r="D28" s="7">
        <v>35119</v>
      </c>
      <c r="E28" s="6" t="s">
        <v>9</v>
      </c>
      <c r="F28" s="7">
        <v>43762</v>
      </c>
      <c r="G28" s="8">
        <v>0.5</v>
      </c>
      <c r="H28" s="9">
        <f t="shared" si="0"/>
        <v>23.663244353182751</v>
      </c>
      <c r="I28" s="6">
        <v>2</v>
      </c>
      <c r="J28" s="10">
        <v>86.089700810861501</v>
      </c>
      <c r="K28" s="10">
        <v>23.610634535429838</v>
      </c>
      <c r="L28" s="6">
        <v>5</v>
      </c>
      <c r="M28" s="6">
        <v>139</v>
      </c>
      <c r="N28" s="6">
        <v>12</v>
      </c>
      <c r="O28" s="6">
        <v>89</v>
      </c>
      <c r="P28" s="6">
        <v>0.67</v>
      </c>
      <c r="Q28" s="10">
        <f t="shared" si="7"/>
        <v>287.29715873015874</v>
      </c>
      <c r="R28" s="6">
        <v>0</v>
      </c>
      <c r="S28" s="6">
        <v>0</v>
      </c>
      <c r="T28" s="6"/>
      <c r="U28" t="s">
        <v>92</v>
      </c>
    </row>
    <row r="29" spans="1:21" x14ac:dyDescent="0.2">
      <c r="A29" s="6" t="s">
        <v>49</v>
      </c>
      <c r="B29" s="6">
        <v>113</v>
      </c>
      <c r="C29" s="6">
        <v>1</v>
      </c>
      <c r="D29" s="7">
        <v>35119</v>
      </c>
      <c r="E29" s="6" t="s">
        <v>9</v>
      </c>
      <c r="F29" s="7">
        <v>43763</v>
      </c>
      <c r="G29" s="8">
        <v>0.42708333333333331</v>
      </c>
      <c r="H29" s="9">
        <f t="shared" si="0"/>
        <v>23.665982203969882</v>
      </c>
      <c r="I29" s="6">
        <v>3</v>
      </c>
      <c r="J29" s="10">
        <v>79.859222432784122</v>
      </c>
      <c r="K29" s="10">
        <v>20.598541508270475</v>
      </c>
      <c r="L29" s="6">
        <v>4.2</v>
      </c>
      <c r="M29" s="6">
        <v>139</v>
      </c>
      <c r="N29" s="6">
        <v>12</v>
      </c>
      <c r="O29" s="6">
        <v>89</v>
      </c>
      <c r="P29" s="6">
        <v>0.67</v>
      </c>
      <c r="Q29" s="10">
        <f t="shared" si="7"/>
        <v>287.29715873015874</v>
      </c>
      <c r="R29" s="6">
        <v>0</v>
      </c>
      <c r="S29" s="6">
        <v>0</v>
      </c>
      <c r="T29" s="6"/>
      <c r="U29" t="s">
        <v>92</v>
      </c>
    </row>
    <row r="30" spans="1:21" x14ac:dyDescent="0.2">
      <c r="A30" t="s">
        <v>20</v>
      </c>
      <c r="B30">
        <v>507</v>
      </c>
      <c r="C30">
        <v>5</v>
      </c>
      <c r="D30" s="14">
        <v>24562</v>
      </c>
      <c r="E30" t="s">
        <v>11</v>
      </c>
      <c r="F30" s="14">
        <v>44496</v>
      </c>
      <c r="G30" s="15">
        <v>0.4513888888888889</v>
      </c>
      <c r="H30" s="16">
        <f t="shared" si="0"/>
        <v>54.57631759069131</v>
      </c>
      <c r="I30">
        <v>0</v>
      </c>
      <c r="J30" s="2">
        <v>205.37292828378483</v>
      </c>
      <c r="K30" s="2">
        <v>33.417716893464586</v>
      </c>
      <c r="L30">
        <v>3.6</v>
      </c>
      <c r="M30">
        <v>140</v>
      </c>
      <c r="N30">
        <v>14</v>
      </c>
      <c r="O30">
        <v>108</v>
      </c>
      <c r="P30">
        <v>1.06</v>
      </c>
      <c r="Q30" s="10">
        <f t="shared" si="1"/>
        <v>291.10599999999999</v>
      </c>
      <c r="R30" s="6">
        <v>0</v>
      </c>
      <c r="S30" s="6">
        <v>0</v>
      </c>
      <c r="T30" t="s">
        <v>12</v>
      </c>
      <c r="U30" t="s">
        <v>92</v>
      </c>
    </row>
    <row r="31" spans="1:21" x14ac:dyDescent="0.2">
      <c r="A31" t="s">
        <v>50</v>
      </c>
      <c r="B31">
        <v>507</v>
      </c>
      <c r="C31">
        <v>5</v>
      </c>
      <c r="D31" s="14">
        <v>24562</v>
      </c>
      <c r="E31" t="s">
        <v>11</v>
      </c>
      <c r="F31" s="14">
        <v>44503</v>
      </c>
      <c r="G31" s="15">
        <v>0.3888888888888889</v>
      </c>
      <c r="H31" s="16">
        <f t="shared" si="0"/>
        <v>54.595482546201232</v>
      </c>
      <c r="I31">
        <v>1</v>
      </c>
      <c r="J31" s="2">
        <v>239.80964199071559</v>
      </c>
      <c r="K31" s="2">
        <v>50.190852743202129</v>
      </c>
      <c r="L31" s="17">
        <v>61.1</v>
      </c>
      <c r="M31">
        <v>140</v>
      </c>
      <c r="N31">
        <v>14</v>
      </c>
      <c r="O31">
        <v>108</v>
      </c>
      <c r="P31">
        <v>1.06</v>
      </c>
      <c r="Q31" s="10">
        <f t="shared" ref="Q31:Q33" si="8">2*(M31)+(O31/18)+(N31/2.8)+(P31/10)</f>
        <v>291.10599999999999</v>
      </c>
      <c r="R31" s="6">
        <v>0</v>
      </c>
      <c r="S31" s="6">
        <v>0</v>
      </c>
      <c r="U31" t="s">
        <v>92</v>
      </c>
    </row>
    <row r="32" spans="1:21" x14ac:dyDescent="0.2">
      <c r="A32" t="s">
        <v>51</v>
      </c>
      <c r="B32">
        <v>507</v>
      </c>
      <c r="C32">
        <v>5</v>
      </c>
      <c r="D32" s="14">
        <v>24562</v>
      </c>
      <c r="E32" t="s">
        <v>11</v>
      </c>
      <c r="F32" s="14">
        <v>44503</v>
      </c>
      <c r="G32" s="15">
        <v>0.58333333333333337</v>
      </c>
      <c r="H32" s="16">
        <f t="shared" si="0"/>
        <v>54.595482546201232</v>
      </c>
      <c r="I32">
        <v>2</v>
      </c>
      <c r="J32" s="2">
        <v>80.20952092085318</v>
      </c>
      <c r="K32" s="2">
        <v>18.425968710651286</v>
      </c>
      <c r="L32">
        <v>4</v>
      </c>
      <c r="M32">
        <v>140</v>
      </c>
      <c r="N32">
        <v>14</v>
      </c>
      <c r="O32">
        <v>108</v>
      </c>
      <c r="P32">
        <v>1.06</v>
      </c>
      <c r="Q32" s="10">
        <f t="shared" si="8"/>
        <v>291.10599999999999</v>
      </c>
      <c r="R32" s="6">
        <v>0</v>
      </c>
      <c r="S32" s="6">
        <v>0</v>
      </c>
      <c r="U32" t="s">
        <v>92</v>
      </c>
    </row>
    <row r="33" spans="1:21" x14ac:dyDescent="0.2">
      <c r="A33" t="s">
        <v>52</v>
      </c>
      <c r="B33">
        <v>507</v>
      </c>
      <c r="C33">
        <v>5</v>
      </c>
      <c r="D33" s="14">
        <v>24562</v>
      </c>
      <c r="E33" t="s">
        <v>11</v>
      </c>
      <c r="F33" s="14">
        <v>44504</v>
      </c>
      <c r="G33" s="15">
        <v>0.45833333333333331</v>
      </c>
      <c r="H33" s="16">
        <f t="shared" si="0"/>
        <v>54.598220396988367</v>
      </c>
      <c r="I33">
        <v>3</v>
      </c>
      <c r="J33" s="2">
        <v>198.96156457990793</v>
      </c>
      <c r="K33" s="2">
        <v>39.009531386688721</v>
      </c>
      <c r="L33">
        <v>3.4</v>
      </c>
      <c r="M33">
        <v>140</v>
      </c>
      <c r="N33">
        <v>14</v>
      </c>
      <c r="O33">
        <v>108</v>
      </c>
      <c r="P33">
        <v>1.06</v>
      </c>
      <c r="Q33" s="10">
        <f t="shared" si="8"/>
        <v>291.10599999999999</v>
      </c>
      <c r="R33" s="6">
        <v>0</v>
      </c>
      <c r="S33" s="6">
        <v>0</v>
      </c>
      <c r="U33" t="s">
        <v>92</v>
      </c>
    </row>
    <row r="34" spans="1:21" x14ac:dyDescent="0.2">
      <c r="A34" t="s">
        <v>21</v>
      </c>
      <c r="B34">
        <v>510</v>
      </c>
      <c r="C34">
        <v>5</v>
      </c>
      <c r="D34" s="14">
        <v>22953</v>
      </c>
      <c r="E34" t="s">
        <v>9</v>
      </c>
      <c r="F34" s="14">
        <v>44699</v>
      </c>
      <c r="G34" s="15">
        <v>0.4375</v>
      </c>
      <c r="H34" s="16">
        <f t="shared" ref="H34:H65" si="9">(F34-D34)/365.25</f>
        <v>59.537303216974678</v>
      </c>
      <c r="I34">
        <v>0</v>
      </c>
      <c r="J34" s="11">
        <v>70.591040398029691</v>
      </c>
      <c r="K34" s="11">
        <v>17.505035016151442</v>
      </c>
      <c r="L34">
        <v>0</v>
      </c>
      <c r="M34">
        <v>142</v>
      </c>
      <c r="N34">
        <v>11</v>
      </c>
      <c r="O34">
        <v>81</v>
      </c>
      <c r="P34">
        <v>0.61</v>
      </c>
      <c r="Q34" s="10">
        <f>2*(M34)+(O34/18)+(N34/2.8)+(P34/10)</f>
        <v>292.48957142857142</v>
      </c>
      <c r="R34" s="6">
        <v>0</v>
      </c>
      <c r="S34" s="6">
        <v>0</v>
      </c>
      <c r="T34" t="s">
        <v>12</v>
      </c>
      <c r="U34" t="s">
        <v>93</v>
      </c>
    </row>
    <row r="35" spans="1:21" x14ac:dyDescent="0.2">
      <c r="A35" t="s">
        <v>53</v>
      </c>
      <c r="B35">
        <v>510</v>
      </c>
      <c r="C35">
        <v>5</v>
      </c>
      <c r="D35" s="14">
        <v>22953</v>
      </c>
      <c r="E35" t="s">
        <v>9</v>
      </c>
      <c r="F35" s="14">
        <v>44706</v>
      </c>
      <c r="G35" s="15">
        <v>0.375</v>
      </c>
      <c r="H35" s="16">
        <f t="shared" si="9"/>
        <v>59.5564681724846</v>
      </c>
      <c r="I35">
        <v>1</v>
      </c>
      <c r="J35" s="2">
        <v>62.894976447338031</v>
      </c>
      <c r="K35" s="2">
        <v>14.313900893625192</v>
      </c>
      <c r="L35">
        <v>3.2</v>
      </c>
      <c r="M35">
        <v>142</v>
      </c>
      <c r="N35">
        <v>11</v>
      </c>
      <c r="O35">
        <v>81</v>
      </c>
      <c r="P35">
        <v>0.61</v>
      </c>
      <c r="Q35" s="10">
        <f>2*(M35)+(O35/18)+(N35/2.8)+(P35/10)</f>
        <v>292.48957142857142</v>
      </c>
      <c r="R35" s="6">
        <v>0</v>
      </c>
      <c r="S35" s="6">
        <v>0</v>
      </c>
      <c r="U35" t="s">
        <v>93</v>
      </c>
    </row>
    <row r="36" spans="1:21" x14ac:dyDescent="0.2">
      <c r="A36" t="s">
        <v>54</v>
      </c>
      <c r="B36">
        <v>510</v>
      </c>
      <c r="C36">
        <v>5</v>
      </c>
      <c r="D36" s="14">
        <v>22953</v>
      </c>
      <c r="E36" t="s">
        <v>9</v>
      </c>
      <c r="F36" s="14">
        <v>44706</v>
      </c>
      <c r="G36" s="15">
        <v>0.60416666666666663</v>
      </c>
      <c r="H36" s="16">
        <f t="shared" si="9"/>
        <v>59.5564681724846</v>
      </c>
      <c r="I36">
        <v>2</v>
      </c>
      <c r="J36" s="2">
        <v>64.38300707803711</v>
      </c>
      <c r="K36" s="2">
        <v>15.611806723521102</v>
      </c>
      <c r="L36">
        <v>0</v>
      </c>
      <c r="M36">
        <v>142</v>
      </c>
      <c r="N36">
        <v>11</v>
      </c>
      <c r="O36">
        <v>81</v>
      </c>
      <c r="P36">
        <v>0.61</v>
      </c>
      <c r="Q36" s="10">
        <f>2*(M36)+(O36/18)+(N36/2.8)+(P36/10)</f>
        <v>292.48957142857142</v>
      </c>
      <c r="R36" s="6">
        <v>0</v>
      </c>
      <c r="S36" s="6">
        <v>0</v>
      </c>
      <c r="U36" t="s">
        <v>93</v>
      </c>
    </row>
    <row r="37" spans="1:21" x14ac:dyDescent="0.2">
      <c r="A37" t="s">
        <v>55</v>
      </c>
      <c r="B37">
        <v>510</v>
      </c>
      <c r="C37">
        <v>5</v>
      </c>
      <c r="D37" s="14">
        <v>22953</v>
      </c>
      <c r="E37" t="s">
        <v>9</v>
      </c>
      <c r="F37" s="14">
        <v>44707</v>
      </c>
      <c r="G37" s="15">
        <v>0.375</v>
      </c>
      <c r="H37" s="16">
        <f t="shared" si="9"/>
        <v>59.559206023271734</v>
      </c>
      <c r="I37">
        <v>3</v>
      </c>
      <c r="J37" s="2">
        <v>55.65917951390476</v>
      </c>
      <c r="K37" s="2">
        <v>15.834758872491708</v>
      </c>
      <c r="L37">
        <v>3.1</v>
      </c>
      <c r="M37">
        <v>142</v>
      </c>
      <c r="N37">
        <v>11</v>
      </c>
      <c r="O37">
        <v>81</v>
      </c>
      <c r="P37">
        <v>0.61</v>
      </c>
      <c r="Q37" s="10">
        <f>2*(M37)+(O37/18)+(N37/2.8)+(P37/10)</f>
        <v>292.48957142857142</v>
      </c>
      <c r="R37" s="6">
        <v>0</v>
      </c>
      <c r="S37" s="6">
        <v>0</v>
      </c>
      <c r="U37" t="s">
        <v>93</v>
      </c>
    </row>
    <row r="38" spans="1:21" x14ac:dyDescent="0.2">
      <c r="A38" t="s">
        <v>22</v>
      </c>
      <c r="B38">
        <v>513</v>
      </c>
      <c r="C38">
        <v>5</v>
      </c>
      <c r="D38" s="14">
        <v>36547</v>
      </c>
      <c r="E38" t="s">
        <v>11</v>
      </c>
      <c r="F38" s="14">
        <v>44839</v>
      </c>
      <c r="G38" s="15">
        <v>0.39583333333333331</v>
      </c>
      <c r="H38" s="16">
        <f t="shared" si="9"/>
        <v>22.702258726899384</v>
      </c>
      <c r="I38">
        <v>0</v>
      </c>
      <c r="J38" s="2">
        <v>69.189854437657459</v>
      </c>
      <c r="K38" s="2">
        <v>18.518557064204341</v>
      </c>
      <c r="L38">
        <v>13.1</v>
      </c>
      <c r="M38">
        <v>139</v>
      </c>
      <c r="N38">
        <v>13</v>
      </c>
      <c r="O38">
        <v>88</v>
      </c>
      <c r="P38">
        <v>0.98</v>
      </c>
      <c r="Q38" s="10">
        <f t="shared" ref="Q38:Q62" si="10">2*(M38)+(O38/18)+(N38/2.8)+(P38/10)</f>
        <v>287.62974603174609</v>
      </c>
      <c r="R38" s="6">
        <v>0</v>
      </c>
      <c r="S38" s="6">
        <v>0</v>
      </c>
      <c r="T38" t="s">
        <v>12</v>
      </c>
      <c r="U38" t="s">
        <v>92</v>
      </c>
    </row>
    <row r="39" spans="1:21" x14ac:dyDescent="0.2">
      <c r="A39" t="s">
        <v>56</v>
      </c>
      <c r="B39">
        <v>513</v>
      </c>
      <c r="C39">
        <v>5</v>
      </c>
      <c r="D39" s="14">
        <v>36547</v>
      </c>
      <c r="E39" t="s">
        <v>11</v>
      </c>
      <c r="F39" s="14">
        <v>44846</v>
      </c>
      <c r="G39" s="15">
        <v>0.35416666666666669</v>
      </c>
      <c r="H39" s="16">
        <f t="shared" si="9"/>
        <v>22.721423682409309</v>
      </c>
      <c r="I39">
        <v>1</v>
      </c>
      <c r="J39" s="2">
        <v>61.011095396997938</v>
      </c>
      <c r="K39" s="2">
        <v>15.172623923371143</v>
      </c>
      <c r="L39">
        <v>10.5</v>
      </c>
      <c r="M39">
        <v>139</v>
      </c>
      <c r="N39">
        <v>13</v>
      </c>
      <c r="O39">
        <v>88</v>
      </c>
      <c r="P39">
        <v>0.98</v>
      </c>
      <c r="Q39" s="10">
        <f t="shared" ref="Q39:Q41" si="11">2*(M39)+(O39/18)+(N39/2.8)+(P39/10)</f>
        <v>287.62974603174609</v>
      </c>
      <c r="R39" s="6">
        <v>0</v>
      </c>
      <c r="S39" s="6">
        <v>0</v>
      </c>
      <c r="U39" t="s">
        <v>92</v>
      </c>
    </row>
    <row r="40" spans="1:21" x14ac:dyDescent="0.2">
      <c r="A40" t="s">
        <v>57</v>
      </c>
      <c r="B40">
        <v>513</v>
      </c>
      <c r="C40">
        <v>5</v>
      </c>
      <c r="D40" s="14">
        <v>36547</v>
      </c>
      <c r="E40" t="s">
        <v>11</v>
      </c>
      <c r="F40" s="14">
        <v>44846</v>
      </c>
      <c r="G40" s="15">
        <v>0.59027777777777779</v>
      </c>
      <c r="H40" s="16">
        <f t="shared" si="9"/>
        <v>22.721423682409309</v>
      </c>
      <c r="I40">
        <v>2</v>
      </c>
      <c r="J40" s="2">
        <v>73.495790259089461</v>
      </c>
      <c r="K40" s="2">
        <v>21.209265566994905</v>
      </c>
      <c r="L40">
        <v>9.6999999999999993</v>
      </c>
      <c r="M40">
        <v>139</v>
      </c>
      <c r="N40">
        <v>13</v>
      </c>
      <c r="O40">
        <v>88</v>
      </c>
      <c r="P40">
        <v>0.98</v>
      </c>
      <c r="Q40" s="10">
        <f t="shared" si="11"/>
        <v>287.62974603174609</v>
      </c>
      <c r="R40" s="6">
        <v>0</v>
      </c>
      <c r="S40" s="6">
        <v>0</v>
      </c>
      <c r="U40" t="s">
        <v>92</v>
      </c>
    </row>
    <row r="41" spans="1:21" x14ac:dyDescent="0.2">
      <c r="A41" t="s">
        <v>58</v>
      </c>
      <c r="B41">
        <v>513</v>
      </c>
      <c r="C41">
        <v>5</v>
      </c>
      <c r="D41" s="14">
        <v>36547</v>
      </c>
      <c r="E41" t="s">
        <v>11</v>
      </c>
      <c r="F41" s="14">
        <v>44847</v>
      </c>
      <c r="G41" s="15">
        <v>0.39583333333333331</v>
      </c>
      <c r="H41" s="16">
        <f t="shared" si="9"/>
        <v>22.72416153319644</v>
      </c>
      <c r="I41">
        <v>3</v>
      </c>
      <c r="J41" s="2">
        <v>59.933336981620009</v>
      </c>
      <c r="K41" s="2">
        <v>19.529673509836442</v>
      </c>
      <c r="L41">
        <v>11.1</v>
      </c>
      <c r="M41">
        <v>139</v>
      </c>
      <c r="N41">
        <v>13</v>
      </c>
      <c r="O41">
        <v>88</v>
      </c>
      <c r="P41">
        <v>0.98</v>
      </c>
      <c r="Q41" s="10">
        <f t="shared" si="11"/>
        <v>287.62974603174609</v>
      </c>
      <c r="R41" s="6">
        <v>0</v>
      </c>
      <c r="S41" s="6">
        <v>0</v>
      </c>
      <c r="U41" t="s">
        <v>92</v>
      </c>
    </row>
    <row r="42" spans="1:21" x14ac:dyDescent="0.2">
      <c r="A42" t="s">
        <v>23</v>
      </c>
      <c r="B42">
        <v>515</v>
      </c>
      <c r="C42">
        <v>5</v>
      </c>
      <c r="D42" s="14">
        <v>37816</v>
      </c>
      <c r="E42" t="s">
        <v>9</v>
      </c>
      <c r="F42" s="14">
        <v>44874</v>
      </c>
      <c r="G42" s="15">
        <v>0.46875</v>
      </c>
      <c r="H42" s="16">
        <f t="shared" si="9"/>
        <v>19.323750855578371</v>
      </c>
      <c r="I42">
        <v>0</v>
      </c>
      <c r="J42" s="2">
        <v>71.00416807585718</v>
      </c>
      <c r="K42" s="2">
        <v>18.909790329177365</v>
      </c>
      <c r="L42">
        <v>0</v>
      </c>
      <c r="M42">
        <v>137</v>
      </c>
      <c r="N42">
        <v>15</v>
      </c>
      <c r="O42">
        <v>88</v>
      </c>
      <c r="P42">
        <v>0.93</v>
      </c>
      <c r="Q42" s="10">
        <f t="shared" si="10"/>
        <v>284.33903174603176</v>
      </c>
      <c r="R42" s="6">
        <v>0</v>
      </c>
      <c r="S42" s="6">
        <v>0</v>
      </c>
      <c r="T42" t="s">
        <v>12</v>
      </c>
      <c r="U42" t="s">
        <v>93</v>
      </c>
    </row>
    <row r="43" spans="1:21" x14ac:dyDescent="0.2">
      <c r="A43" t="s">
        <v>59</v>
      </c>
      <c r="B43">
        <v>515</v>
      </c>
      <c r="C43">
        <v>5</v>
      </c>
      <c r="D43" s="14">
        <v>37816</v>
      </c>
      <c r="E43" t="s">
        <v>9</v>
      </c>
      <c r="F43" s="14">
        <v>44881</v>
      </c>
      <c r="G43" s="15">
        <v>0.4201388888888889</v>
      </c>
      <c r="H43" s="16">
        <f t="shared" si="9"/>
        <v>19.342915811088297</v>
      </c>
      <c r="I43">
        <v>1</v>
      </c>
      <c r="J43" s="2">
        <v>63.047038317659975</v>
      </c>
      <c r="K43" s="2">
        <v>15.279074426244</v>
      </c>
      <c r="L43">
        <v>0</v>
      </c>
      <c r="M43">
        <v>137</v>
      </c>
      <c r="N43">
        <v>15</v>
      </c>
      <c r="O43">
        <v>88</v>
      </c>
      <c r="P43">
        <v>0.93</v>
      </c>
      <c r="Q43" s="10">
        <f t="shared" ref="Q43:Q45" si="12">2*(M43)+(O43/18)+(N43/2.8)+(P43/10)</f>
        <v>284.33903174603176</v>
      </c>
      <c r="R43" s="6">
        <v>0</v>
      </c>
      <c r="S43" s="6">
        <v>0</v>
      </c>
      <c r="U43" t="s">
        <v>93</v>
      </c>
    </row>
    <row r="44" spans="1:21" x14ac:dyDescent="0.2">
      <c r="A44" t="s">
        <v>60</v>
      </c>
      <c r="B44">
        <v>515</v>
      </c>
      <c r="C44">
        <v>5</v>
      </c>
      <c r="D44" s="14">
        <v>37816</v>
      </c>
      <c r="E44" t="s">
        <v>9</v>
      </c>
      <c r="F44" s="14">
        <v>44881</v>
      </c>
      <c r="G44" s="15">
        <v>0.59027777777777779</v>
      </c>
      <c r="H44" s="16">
        <f t="shared" si="9"/>
        <v>19.342915811088297</v>
      </c>
      <c r="I44">
        <v>2</v>
      </c>
      <c r="J44" s="2">
        <v>67.121907113314435</v>
      </c>
      <c r="K44" s="2">
        <v>17.590045917527469</v>
      </c>
      <c r="L44">
        <v>0</v>
      </c>
      <c r="M44">
        <v>137</v>
      </c>
      <c r="N44">
        <v>15</v>
      </c>
      <c r="O44">
        <v>88</v>
      </c>
      <c r="P44">
        <v>0.93</v>
      </c>
      <c r="Q44" s="10">
        <f t="shared" si="12"/>
        <v>284.33903174603176</v>
      </c>
      <c r="R44" s="6">
        <v>0</v>
      </c>
      <c r="S44" s="6">
        <v>0</v>
      </c>
      <c r="U44" t="s">
        <v>93</v>
      </c>
    </row>
    <row r="45" spans="1:21" x14ac:dyDescent="0.2">
      <c r="A45" t="s">
        <v>61</v>
      </c>
      <c r="B45">
        <v>515</v>
      </c>
      <c r="C45">
        <v>5</v>
      </c>
      <c r="D45" s="14">
        <v>37816</v>
      </c>
      <c r="E45" t="s">
        <v>9</v>
      </c>
      <c r="F45" s="14">
        <v>44882</v>
      </c>
      <c r="G45" s="15">
        <v>0.39930555555555558</v>
      </c>
      <c r="H45" s="16">
        <f t="shared" si="9"/>
        <v>19.345653661875428</v>
      </c>
      <c r="I45">
        <v>3</v>
      </c>
      <c r="J45" s="2">
        <v>58.185350469205652</v>
      </c>
      <c r="K45" s="2">
        <v>13.925637298337168</v>
      </c>
      <c r="L45">
        <v>0</v>
      </c>
      <c r="M45">
        <v>137</v>
      </c>
      <c r="N45">
        <v>15</v>
      </c>
      <c r="O45">
        <v>88</v>
      </c>
      <c r="P45">
        <v>0.93</v>
      </c>
      <c r="Q45" s="10">
        <f t="shared" si="12"/>
        <v>284.33903174603176</v>
      </c>
      <c r="R45" s="6">
        <v>0</v>
      </c>
      <c r="S45" s="6">
        <v>0</v>
      </c>
      <c r="U45" t="s">
        <v>93</v>
      </c>
    </row>
    <row r="46" spans="1:21" x14ac:dyDescent="0.2">
      <c r="A46" t="s">
        <v>24</v>
      </c>
      <c r="B46">
        <v>516</v>
      </c>
      <c r="C46">
        <v>5</v>
      </c>
      <c r="D46" s="14">
        <v>30040</v>
      </c>
      <c r="E46" t="s">
        <v>9</v>
      </c>
      <c r="F46" s="14">
        <v>44951</v>
      </c>
      <c r="G46" s="15">
        <v>0.40277777777777773</v>
      </c>
      <c r="H46" s="16">
        <f t="shared" si="9"/>
        <v>40.824093086926766</v>
      </c>
      <c r="I46">
        <v>0</v>
      </c>
      <c r="J46" s="2">
        <v>92.541203981489218</v>
      </c>
      <c r="K46" s="2">
        <v>21.592188821618134</v>
      </c>
      <c r="L46">
        <v>6.1</v>
      </c>
      <c r="M46">
        <v>139</v>
      </c>
      <c r="N46">
        <v>17</v>
      </c>
      <c r="O46">
        <v>90</v>
      </c>
      <c r="P46">
        <v>1</v>
      </c>
      <c r="Q46" s="10">
        <f t="shared" si="10"/>
        <v>289.17142857142858</v>
      </c>
      <c r="R46" s="6">
        <v>0</v>
      </c>
      <c r="S46" s="6">
        <v>0</v>
      </c>
      <c r="T46" t="s">
        <v>12</v>
      </c>
      <c r="U46" t="s">
        <v>93</v>
      </c>
    </row>
    <row r="47" spans="1:21" x14ac:dyDescent="0.2">
      <c r="A47" t="s">
        <v>62</v>
      </c>
      <c r="B47">
        <v>516</v>
      </c>
      <c r="C47">
        <v>5</v>
      </c>
      <c r="D47" s="14">
        <v>30040</v>
      </c>
      <c r="E47" t="s">
        <v>9</v>
      </c>
      <c r="F47" s="14">
        <v>44958</v>
      </c>
      <c r="G47" s="15">
        <v>0.36805555555555558</v>
      </c>
      <c r="H47" s="16">
        <f t="shared" si="9"/>
        <v>40.843258042436688</v>
      </c>
      <c r="I47">
        <v>1</v>
      </c>
      <c r="J47" s="2">
        <v>83.33993212890401</v>
      </c>
      <c r="K47" s="2">
        <v>19.664043349889823</v>
      </c>
      <c r="L47">
        <v>6.5</v>
      </c>
      <c r="M47">
        <v>139</v>
      </c>
      <c r="N47">
        <v>17</v>
      </c>
      <c r="O47">
        <v>90</v>
      </c>
      <c r="P47">
        <v>1</v>
      </c>
      <c r="Q47" s="10">
        <f t="shared" ref="Q47:Q49" si="13">2*(M47)+(O47/18)+(N47/2.8)+(P47/10)</f>
        <v>289.17142857142858</v>
      </c>
      <c r="R47" s="6">
        <v>0</v>
      </c>
      <c r="S47" s="6">
        <v>0</v>
      </c>
      <c r="U47" t="s">
        <v>93</v>
      </c>
    </row>
    <row r="48" spans="1:21" x14ac:dyDescent="0.2">
      <c r="A48" t="s">
        <v>63</v>
      </c>
      <c r="B48">
        <v>516</v>
      </c>
      <c r="C48">
        <v>5</v>
      </c>
      <c r="D48" s="14">
        <v>30040</v>
      </c>
      <c r="E48" t="s">
        <v>9</v>
      </c>
      <c r="F48" s="14">
        <v>44958</v>
      </c>
      <c r="G48" s="15">
        <v>0.56597222222222221</v>
      </c>
      <c r="H48" s="16">
        <f t="shared" si="9"/>
        <v>40.843258042436688</v>
      </c>
      <c r="I48">
        <v>2</v>
      </c>
      <c r="J48" s="2">
        <v>102.32806650199127</v>
      </c>
      <c r="K48" s="2">
        <v>19.2664203501053</v>
      </c>
      <c r="L48">
        <v>4.5999999999999996</v>
      </c>
      <c r="M48">
        <v>139</v>
      </c>
      <c r="N48">
        <v>17</v>
      </c>
      <c r="O48">
        <v>90</v>
      </c>
      <c r="P48">
        <v>1</v>
      </c>
      <c r="Q48" s="10">
        <f t="shared" si="13"/>
        <v>289.17142857142858</v>
      </c>
      <c r="R48" s="6">
        <v>0</v>
      </c>
      <c r="S48" s="6">
        <v>0</v>
      </c>
      <c r="U48" t="s">
        <v>93</v>
      </c>
    </row>
    <row r="49" spans="1:21" x14ac:dyDescent="0.2">
      <c r="A49" t="s">
        <v>64</v>
      </c>
      <c r="B49">
        <v>516</v>
      </c>
      <c r="C49">
        <v>5</v>
      </c>
      <c r="D49" s="14">
        <v>30040</v>
      </c>
      <c r="E49" t="s">
        <v>9</v>
      </c>
      <c r="F49" s="14">
        <v>44959</v>
      </c>
      <c r="G49" s="15">
        <v>0.3888888888888889</v>
      </c>
      <c r="H49" s="16">
        <f t="shared" si="9"/>
        <v>40.845995893223822</v>
      </c>
      <c r="I49">
        <v>3</v>
      </c>
      <c r="J49" s="2">
        <v>79.80157673817385</v>
      </c>
      <c r="K49" s="2">
        <v>17.697872432986639</v>
      </c>
      <c r="L49">
        <v>10.199999999999999</v>
      </c>
      <c r="M49">
        <v>139</v>
      </c>
      <c r="N49">
        <v>17</v>
      </c>
      <c r="O49">
        <v>90</v>
      </c>
      <c r="P49">
        <v>1</v>
      </c>
      <c r="Q49" s="10">
        <f t="shared" si="13"/>
        <v>289.17142857142858</v>
      </c>
      <c r="R49" s="6">
        <v>0</v>
      </c>
      <c r="S49" s="6">
        <v>0</v>
      </c>
      <c r="U49" t="s">
        <v>93</v>
      </c>
    </row>
    <row r="50" spans="1:21" x14ac:dyDescent="0.2">
      <c r="A50" t="s">
        <v>25</v>
      </c>
      <c r="B50">
        <v>517</v>
      </c>
      <c r="C50">
        <v>5</v>
      </c>
      <c r="D50" s="14">
        <v>26198</v>
      </c>
      <c r="E50" t="s">
        <v>9</v>
      </c>
      <c r="F50" s="14">
        <v>44986</v>
      </c>
      <c r="G50" s="15">
        <v>0.50694444444444442</v>
      </c>
      <c r="H50" s="16">
        <f t="shared" si="9"/>
        <v>51.43874058863792</v>
      </c>
      <c r="I50">
        <v>0</v>
      </c>
      <c r="J50" s="2">
        <v>57.033627359376723</v>
      </c>
      <c r="K50" s="2">
        <v>10.973394708065603</v>
      </c>
      <c r="L50">
        <v>5.3</v>
      </c>
      <c r="M50">
        <v>140</v>
      </c>
      <c r="N50">
        <v>17</v>
      </c>
      <c r="O50">
        <v>111</v>
      </c>
      <c r="P50">
        <v>0.79</v>
      </c>
      <c r="Q50" s="10">
        <f t="shared" si="10"/>
        <v>292.31709523809525</v>
      </c>
      <c r="R50" s="6">
        <v>0</v>
      </c>
      <c r="S50" s="6">
        <v>0</v>
      </c>
      <c r="T50" t="s">
        <v>12</v>
      </c>
      <c r="U50" t="s">
        <v>93</v>
      </c>
    </row>
    <row r="51" spans="1:21" x14ac:dyDescent="0.2">
      <c r="A51" t="s">
        <v>65</v>
      </c>
      <c r="B51">
        <v>517</v>
      </c>
      <c r="C51">
        <v>5</v>
      </c>
      <c r="D51" s="14">
        <v>26198</v>
      </c>
      <c r="E51" t="s">
        <v>9</v>
      </c>
      <c r="F51" s="14">
        <v>44993</v>
      </c>
      <c r="G51" s="15">
        <v>0.41666666666666669</v>
      </c>
      <c r="H51" s="16">
        <f t="shared" si="9"/>
        <v>51.457905544147842</v>
      </c>
      <c r="I51">
        <v>1</v>
      </c>
      <c r="J51" s="2">
        <v>74.276177503680131</v>
      </c>
      <c r="K51" s="2">
        <v>10.278165064695939</v>
      </c>
      <c r="L51">
        <v>5.6</v>
      </c>
      <c r="M51">
        <v>140</v>
      </c>
      <c r="N51">
        <v>17</v>
      </c>
      <c r="O51">
        <v>111</v>
      </c>
      <c r="P51">
        <v>0.79</v>
      </c>
      <c r="Q51" s="10">
        <f t="shared" ref="Q51:Q53" si="14">2*(M51)+(O51/18)+(N51/2.8)+(P51/10)</f>
        <v>292.31709523809525</v>
      </c>
      <c r="R51" s="6">
        <v>0</v>
      </c>
      <c r="S51" s="6">
        <v>0</v>
      </c>
      <c r="U51" t="s">
        <v>93</v>
      </c>
    </row>
    <row r="52" spans="1:21" x14ac:dyDescent="0.2">
      <c r="A52" t="s">
        <v>66</v>
      </c>
      <c r="B52">
        <v>517</v>
      </c>
      <c r="C52">
        <v>5</v>
      </c>
      <c r="D52" s="14">
        <v>26198</v>
      </c>
      <c r="E52" t="s">
        <v>9</v>
      </c>
      <c r="F52" s="14">
        <v>44993</v>
      </c>
      <c r="G52" s="15">
        <v>0.58333333333333337</v>
      </c>
      <c r="H52" s="16">
        <f t="shared" si="9"/>
        <v>51.457905544147842</v>
      </c>
      <c r="I52">
        <v>2</v>
      </c>
      <c r="J52" s="2">
        <v>74.276177503680131</v>
      </c>
      <c r="K52" s="2">
        <v>17.271275178431306</v>
      </c>
      <c r="L52">
        <v>3.7</v>
      </c>
      <c r="M52">
        <v>140</v>
      </c>
      <c r="N52">
        <v>17</v>
      </c>
      <c r="O52">
        <v>111</v>
      </c>
      <c r="P52">
        <v>0.79</v>
      </c>
      <c r="Q52" s="10">
        <f t="shared" si="14"/>
        <v>292.31709523809525</v>
      </c>
      <c r="R52" s="6">
        <v>0</v>
      </c>
      <c r="S52" s="6">
        <v>0</v>
      </c>
      <c r="U52" t="s">
        <v>93</v>
      </c>
    </row>
    <row r="53" spans="1:21" x14ac:dyDescent="0.2">
      <c r="A53" t="s">
        <v>67</v>
      </c>
      <c r="B53">
        <v>517</v>
      </c>
      <c r="C53">
        <v>5</v>
      </c>
      <c r="D53" s="14">
        <v>26198</v>
      </c>
      <c r="E53" t="s">
        <v>9</v>
      </c>
      <c r="F53" s="14">
        <v>44994</v>
      </c>
      <c r="G53" s="15">
        <v>0.29166666666666669</v>
      </c>
      <c r="H53" s="16">
        <f t="shared" si="9"/>
        <v>51.460643394934976</v>
      </c>
      <c r="I53">
        <v>3</v>
      </c>
      <c r="J53" s="2">
        <v>55.876672425040411</v>
      </c>
      <c r="K53" s="2">
        <v>14.275771841673155</v>
      </c>
      <c r="L53">
        <v>4.2</v>
      </c>
      <c r="M53">
        <v>140</v>
      </c>
      <c r="N53">
        <v>17</v>
      </c>
      <c r="O53">
        <v>111</v>
      </c>
      <c r="P53">
        <v>0.79</v>
      </c>
      <c r="Q53" s="10">
        <f t="shared" si="14"/>
        <v>292.31709523809525</v>
      </c>
      <c r="R53" s="6">
        <v>0</v>
      </c>
      <c r="S53" s="6">
        <v>0</v>
      </c>
      <c r="U53" t="s">
        <v>93</v>
      </c>
    </row>
    <row r="54" spans="1:21" x14ac:dyDescent="0.2">
      <c r="A54" t="s">
        <v>26</v>
      </c>
      <c r="B54">
        <v>518</v>
      </c>
      <c r="C54">
        <v>5</v>
      </c>
      <c r="D54" s="14">
        <v>32226</v>
      </c>
      <c r="E54" t="s">
        <v>9</v>
      </c>
      <c r="F54" s="14">
        <v>45021</v>
      </c>
      <c r="G54" s="15">
        <v>0.4375</v>
      </c>
      <c r="H54" s="16">
        <f t="shared" si="9"/>
        <v>35.030800821355236</v>
      </c>
      <c r="I54">
        <v>0</v>
      </c>
      <c r="J54" s="2">
        <v>59.748489874162445</v>
      </c>
      <c r="K54" s="2">
        <v>14.839543373329766</v>
      </c>
      <c r="L54">
        <v>3.7</v>
      </c>
      <c r="M54">
        <v>137</v>
      </c>
      <c r="N54">
        <v>12</v>
      </c>
      <c r="O54">
        <v>106</v>
      </c>
      <c r="P54">
        <v>0.61</v>
      </c>
      <c r="Q54" s="10">
        <f t="shared" si="10"/>
        <v>284.23560317460317</v>
      </c>
      <c r="R54" s="6">
        <v>0</v>
      </c>
      <c r="S54" s="6">
        <v>0</v>
      </c>
      <c r="T54" t="s">
        <v>12</v>
      </c>
      <c r="U54" t="s">
        <v>92</v>
      </c>
    </row>
    <row r="55" spans="1:21" x14ac:dyDescent="0.2">
      <c r="A55" t="s">
        <v>68</v>
      </c>
      <c r="B55">
        <v>518</v>
      </c>
      <c r="C55">
        <v>5</v>
      </c>
      <c r="D55" s="14">
        <v>32226</v>
      </c>
      <c r="E55" t="s">
        <v>9</v>
      </c>
      <c r="F55" s="14">
        <v>45028</v>
      </c>
      <c r="G55" s="15">
        <v>0.375</v>
      </c>
      <c r="H55" s="16">
        <f t="shared" si="9"/>
        <v>35.049965776865157</v>
      </c>
      <c r="I55">
        <v>1</v>
      </c>
      <c r="J55" s="2">
        <v>59.472129876308692</v>
      </c>
      <c r="K55" s="2">
        <v>8.853405203066318</v>
      </c>
      <c r="L55">
        <v>3.6</v>
      </c>
      <c r="M55">
        <v>137</v>
      </c>
      <c r="N55">
        <v>12</v>
      </c>
      <c r="O55">
        <v>106</v>
      </c>
      <c r="P55">
        <v>0.61</v>
      </c>
      <c r="Q55" s="10">
        <f t="shared" ref="Q55:Q57" si="15">2*(M55)+(O55/18)+(N55/2.8)+(P55/10)</f>
        <v>284.23560317460317</v>
      </c>
      <c r="R55" s="6">
        <v>0</v>
      </c>
      <c r="S55" s="6">
        <v>0</v>
      </c>
      <c r="U55" t="s">
        <v>92</v>
      </c>
    </row>
    <row r="56" spans="1:21" x14ac:dyDescent="0.2">
      <c r="A56" t="s">
        <v>69</v>
      </c>
      <c r="B56">
        <v>518</v>
      </c>
      <c r="C56">
        <v>5</v>
      </c>
      <c r="D56" s="14">
        <v>32226</v>
      </c>
      <c r="E56" t="s">
        <v>9</v>
      </c>
      <c r="F56" s="14">
        <v>45028</v>
      </c>
      <c r="G56" s="15">
        <v>0.60416666666666663</v>
      </c>
      <c r="H56" s="16">
        <f t="shared" si="9"/>
        <v>35.049965776865157</v>
      </c>
      <c r="I56">
        <v>2</v>
      </c>
      <c r="J56" s="2">
        <v>50.297918137791171</v>
      </c>
      <c r="K56" s="2">
        <v>11.30729226937744</v>
      </c>
      <c r="L56">
        <v>3</v>
      </c>
      <c r="M56">
        <v>137</v>
      </c>
      <c r="N56">
        <v>12</v>
      </c>
      <c r="O56">
        <v>106</v>
      </c>
      <c r="P56">
        <v>0.61</v>
      </c>
      <c r="Q56" s="10">
        <f t="shared" si="15"/>
        <v>284.23560317460317</v>
      </c>
      <c r="R56" s="6">
        <v>0</v>
      </c>
      <c r="S56" s="6">
        <v>0</v>
      </c>
      <c r="U56" t="s">
        <v>92</v>
      </c>
    </row>
    <row r="57" spans="1:21" x14ac:dyDescent="0.2">
      <c r="A57" t="s">
        <v>70</v>
      </c>
      <c r="B57">
        <v>518</v>
      </c>
      <c r="C57">
        <v>5</v>
      </c>
      <c r="D57" s="14">
        <v>32226</v>
      </c>
      <c r="E57" t="s">
        <v>9</v>
      </c>
      <c r="F57" s="14">
        <v>45029</v>
      </c>
      <c r="G57" s="15">
        <v>0.40625</v>
      </c>
      <c r="H57" s="16">
        <f t="shared" si="9"/>
        <v>35.052703627652292</v>
      </c>
      <c r="I57">
        <v>3</v>
      </c>
      <c r="J57" s="2">
        <v>52.335782663850999</v>
      </c>
      <c r="K57" s="2">
        <v>12.201755971803776</v>
      </c>
      <c r="L57">
        <v>3.4</v>
      </c>
      <c r="M57">
        <v>137</v>
      </c>
      <c r="N57">
        <v>12</v>
      </c>
      <c r="O57">
        <v>106</v>
      </c>
      <c r="P57">
        <v>0.61</v>
      </c>
      <c r="Q57" s="10">
        <f t="shared" si="15"/>
        <v>284.23560317460317</v>
      </c>
      <c r="R57" s="6">
        <v>0</v>
      </c>
      <c r="S57" s="6">
        <v>0</v>
      </c>
      <c r="U57" t="s">
        <v>92</v>
      </c>
    </row>
    <row r="58" spans="1:21" x14ac:dyDescent="0.2">
      <c r="A58" t="s">
        <v>27</v>
      </c>
      <c r="B58">
        <v>519</v>
      </c>
      <c r="C58">
        <v>5</v>
      </c>
      <c r="D58" s="14">
        <v>31425</v>
      </c>
      <c r="E58" t="s">
        <v>11</v>
      </c>
      <c r="F58" s="14">
        <v>45147</v>
      </c>
      <c r="G58" s="15">
        <v>0.375</v>
      </c>
      <c r="H58" s="16">
        <f t="shared" si="9"/>
        <v>37.568788501026695</v>
      </c>
      <c r="I58">
        <v>0</v>
      </c>
      <c r="J58" s="11">
        <v>49.746161487402865</v>
      </c>
      <c r="K58" s="11">
        <v>25.295718524689459</v>
      </c>
      <c r="L58">
        <v>0</v>
      </c>
      <c r="M58">
        <v>141</v>
      </c>
      <c r="N58">
        <v>10</v>
      </c>
      <c r="O58">
        <v>95</v>
      </c>
      <c r="P58">
        <v>0.85</v>
      </c>
      <c r="Q58" s="10">
        <f t="shared" si="10"/>
        <v>290.93420634920631</v>
      </c>
      <c r="R58" s="6">
        <v>0</v>
      </c>
      <c r="S58" s="6">
        <v>0</v>
      </c>
      <c r="T58" t="s">
        <v>12</v>
      </c>
      <c r="U58" t="s">
        <v>93</v>
      </c>
    </row>
    <row r="59" spans="1:21" x14ac:dyDescent="0.2">
      <c r="A59" t="s">
        <v>71</v>
      </c>
      <c r="B59">
        <v>519</v>
      </c>
      <c r="C59">
        <v>5</v>
      </c>
      <c r="D59" s="14">
        <v>31425</v>
      </c>
      <c r="E59" t="s">
        <v>11</v>
      </c>
      <c r="F59" s="14">
        <v>45154</v>
      </c>
      <c r="G59" s="15">
        <v>0.35416666666666669</v>
      </c>
      <c r="H59" s="16">
        <f t="shared" si="9"/>
        <v>37.587953456536617</v>
      </c>
      <c r="I59">
        <v>1</v>
      </c>
      <c r="J59" s="2">
        <v>66.37340296080211</v>
      </c>
      <c r="K59" s="2">
        <v>17.506768192128735</v>
      </c>
      <c r="L59">
        <v>0</v>
      </c>
      <c r="M59">
        <v>141</v>
      </c>
      <c r="N59">
        <v>10</v>
      </c>
      <c r="O59">
        <v>95</v>
      </c>
      <c r="P59">
        <v>0.85</v>
      </c>
      <c r="Q59" s="10">
        <f t="shared" ref="Q59:Q61" si="16">2*(M59)+(O59/18)+(N59/2.8)+(P59/10)</f>
        <v>290.93420634920631</v>
      </c>
      <c r="R59" s="6">
        <v>0</v>
      </c>
      <c r="S59" s="6">
        <v>0</v>
      </c>
      <c r="U59" t="s">
        <v>93</v>
      </c>
    </row>
    <row r="60" spans="1:21" x14ac:dyDescent="0.2">
      <c r="A60" t="s">
        <v>72</v>
      </c>
      <c r="B60">
        <v>519</v>
      </c>
      <c r="C60">
        <v>5</v>
      </c>
      <c r="D60" s="14">
        <v>31425</v>
      </c>
      <c r="E60" t="s">
        <v>11</v>
      </c>
      <c r="F60" s="14">
        <v>45154</v>
      </c>
      <c r="G60" s="15">
        <v>0.58333333333333337</v>
      </c>
      <c r="H60" s="16">
        <f t="shared" si="9"/>
        <v>37.587953456536617</v>
      </c>
      <c r="I60">
        <v>2</v>
      </c>
      <c r="J60" s="2">
        <v>50.659961810995952</v>
      </c>
      <c r="K60" s="2">
        <v>12.600036157548379</v>
      </c>
      <c r="L60">
        <v>0</v>
      </c>
      <c r="M60">
        <v>141</v>
      </c>
      <c r="N60">
        <v>10</v>
      </c>
      <c r="O60">
        <v>95</v>
      </c>
      <c r="P60">
        <v>0.85</v>
      </c>
      <c r="Q60" s="10">
        <f t="shared" si="16"/>
        <v>290.93420634920631</v>
      </c>
      <c r="R60" s="6">
        <v>0</v>
      </c>
      <c r="S60" s="6">
        <v>0</v>
      </c>
      <c r="U60" t="s">
        <v>93</v>
      </c>
    </row>
    <row r="61" spans="1:21" x14ac:dyDescent="0.2">
      <c r="A61" t="s">
        <v>73</v>
      </c>
      <c r="B61">
        <v>519</v>
      </c>
      <c r="C61">
        <v>5</v>
      </c>
      <c r="D61" s="14">
        <v>31425</v>
      </c>
      <c r="E61" t="s">
        <v>11</v>
      </c>
      <c r="F61" s="14">
        <v>45155</v>
      </c>
      <c r="G61" s="15">
        <v>0.4375</v>
      </c>
      <c r="H61" s="16">
        <f t="shared" si="9"/>
        <v>37.590691307323752</v>
      </c>
      <c r="I61">
        <v>3</v>
      </c>
      <c r="J61" s="2">
        <v>59.472129876308692</v>
      </c>
      <c r="K61" s="2">
        <v>12.201755971803776</v>
      </c>
      <c r="L61">
        <v>0</v>
      </c>
      <c r="M61">
        <v>141</v>
      </c>
      <c r="N61">
        <v>10</v>
      </c>
      <c r="O61">
        <v>95</v>
      </c>
      <c r="P61">
        <v>0.85</v>
      </c>
      <c r="Q61" s="10">
        <f t="shared" si="16"/>
        <v>290.93420634920631</v>
      </c>
      <c r="R61" s="6">
        <v>0</v>
      </c>
      <c r="S61" s="6">
        <v>0</v>
      </c>
      <c r="U61" t="s">
        <v>93</v>
      </c>
    </row>
    <row r="62" spans="1:21" x14ac:dyDescent="0.2">
      <c r="A62" t="s">
        <v>28</v>
      </c>
      <c r="B62">
        <v>521</v>
      </c>
      <c r="C62">
        <v>5</v>
      </c>
      <c r="D62" s="14">
        <v>23826</v>
      </c>
      <c r="E62" t="s">
        <v>9</v>
      </c>
      <c r="F62" s="14">
        <v>45182</v>
      </c>
      <c r="G62" s="15">
        <v>0.40277777777777773</v>
      </c>
      <c r="H62" s="16">
        <f t="shared" si="9"/>
        <v>58.469541409993155</v>
      </c>
      <c r="I62">
        <v>0</v>
      </c>
      <c r="J62" s="2">
        <v>100.52331841139058</v>
      </c>
      <c r="K62" s="2">
        <v>23.261963705397022</v>
      </c>
      <c r="L62">
        <v>3</v>
      </c>
      <c r="M62">
        <v>142</v>
      </c>
      <c r="N62">
        <v>12</v>
      </c>
      <c r="O62">
        <v>93</v>
      </c>
      <c r="P62">
        <v>0.63</v>
      </c>
      <c r="Q62" s="10">
        <f t="shared" si="10"/>
        <v>293.51538095238095</v>
      </c>
      <c r="R62" s="6">
        <v>0</v>
      </c>
      <c r="S62" s="6">
        <v>0</v>
      </c>
      <c r="T62" t="s">
        <v>12</v>
      </c>
      <c r="U62" t="s">
        <v>93</v>
      </c>
    </row>
    <row r="63" spans="1:21" x14ac:dyDescent="0.2">
      <c r="A63" t="s">
        <v>74</v>
      </c>
      <c r="B63">
        <v>521</v>
      </c>
      <c r="C63">
        <v>5</v>
      </c>
      <c r="D63" s="14">
        <v>23826</v>
      </c>
      <c r="E63" t="s">
        <v>9</v>
      </c>
      <c r="F63" s="14">
        <v>45189</v>
      </c>
      <c r="G63" s="15">
        <v>0.35416666666666669</v>
      </c>
      <c r="H63" s="16">
        <f t="shared" si="9"/>
        <v>58.488706365503077</v>
      </c>
      <c r="I63">
        <v>1</v>
      </c>
      <c r="J63" s="2">
        <v>59.335415070735401</v>
      </c>
      <c r="K63" s="2">
        <v>13.193388370269094</v>
      </c>
      <c r="L63">
        <v>0</v>
      </c>
      <c r="M63">
        <v>142</v>
      </c>
      <c r="N63">
        <v>12</v>
      </c>
      <c r="O63">
        <v>93</v>
      </c>
      <c r="P63">
        <v>0.63</v>
      </c>
      <c r="Q63" s="10">
        <f t="shared" ref="Q63:Q65" si="17">2*(M63)+(O63/18)+(N63/2.8)+(P63/10)</f>
        <v>293.51538095238095</v>
      </c>
      <c r="R63" s="6">
        <v>0</v>
      </c>
      <c r="S63" s="6">
        <v>0</v>
      </c>
      <c r="U63" t="s">
        <v>93</v>
      </c>
    </row>
    <row r="64" spans="1:21" x14ac:dyDescent="0.2">
      <c r="A64" t="s">
        <v>75</v>
      </c>
      <c r="B64">
        <v>521</v>
      </c>
      <c r="C64">
        <v>5</v>
      </c>
      <c r="D64" s="14">
        <v>23826</v>
      </c>
      <c r="E64" t="s">
        <v>9</v>
      </c>
      <c r="F64" s="14">
        <v>45189</v>
      </c>
      <c r="G64" s="15">
        <v>0.60416666666666663</v>
      </c>
      <c r="H64" s="16">
        <f t="shared" si="9"/>
        <v>58.488706365503077</v>
      </c>
      <c r="I64">
        <v>2</v>
      </c>
      <c r="J64" s="2">
        <v>63.72261664063906</v>
      </c>
      <c r="K64" s="2">
        <v>16.082360000675244</v>
      </c>
      <c r="L64">
        <v>0</v>
      </c>
      <c r="M64">
        <v>142</v>
      </c>
      <c r="N64">
        <v>12</v>
      </c>
      <c r="O64">
        <v>93</v>
      </c>
      <c r="P64">
        <v>0.63</v>
      </c>
      <c r="Q64" s="10">
        <f t="shared" si="17"/>
        <v>293.51538095238095</v>
      </c>
      <c r="R64" s="6">
        <v>0</v>
      </c>
      <c r="S64" s="6">
        <v>0</v>
      </c>
      <c r="U64" t="s">
        <v>93</v>
      </c>
    </row>
    <row r="65" spans="1:21" x14ac:dyDescent="0.2">
      <c r="A65" t="s">
        <v>76</v>
      </c>
      <c r="B65">
        <v>521</v>
      </c>
      <c r="C65">
        <v>5</v>
      </c>
      <c r="D65" s="14">
        <v>23826</v>
      </c>
      <c r="E65" t="s">
        <v>9</v>
      </c>
      <c r="F65" s="14">
        <v>45190</v>
      </c>
      <c r="G65" s="15">
        <v>0.35416666666666669</v>
      </c>
      <c r="H65" s="16">
        <f t="shared" si="9"/>
        <v>58.491444216290212</v>
      </c>
      <c r="I65">
        <v>3</v>
      </c>
      <c r="J65" s="2">
        <v>69.533349759861522</v>
      </c>
      <c r="K65" s="2">
        <v>15.933208735564458</v>
      </c>
      <c r="L65">
        <v>3.9</v>
      </c>
      <c r="M65">
        <v>142</v>
      </c>
      <c r="N65">
        <v>12</v>
      </c>
      <c r="O65">
        <v>93</v>
      </c>
      <c r="P65">
        <v>0.63</v>
      </c>
      <c r="Q65" s="10">
        <f t="shared" si="17"/>
        <v>293.51538095238095</v>
      </c>
      <c r="R65" s="6">
        <v>0</v>
      </c>
      <c r="S65" s="6">
        <v>0</v>
      </c>
      <c r="U65" t="s">
        <v>93</v>
      </c>
    </row>
    <row r="66" spans="1:21" x14ac:dyDescent="0.2">
      <c r="A66" t="s">
        <v>81</v>
      </c>
      <c r="B66">
        <v>101</v>
      </c>
      <c r="C66">
        <v>1</v>
      </c>
      <c r="D66" s="14">
        <v>26562</v>
      </c>
      <c r="E66" t="s">
        <v>9</v>
      </c>
      <c r="F66" s="14">
        <v>42431</v>
      </c>
      <c r="G66" s="15">
        <v>0.3125</v>
      </c>
      <c r="H66" s="16">
        <f t="shared" ref="H66:H73" si="18">(F66-D66)/365.25</f>
        <v>43.446954140999317</v>
      </c>
      <c r="I66">
        <v>0</v>
      </c>
      <c r="J66" s="2">
        <v>51.946220591524209</v>
      </c>
      <c r="K66" s="2">
        <v>12.109031258700572</v>
      </c>
      <c r="L66">
        <v>13.1</v>
      </c>
      <c r="M66">
        <v>139</v>
      </c>
      <c r="N66">
        <v>14</v>
      </c>
      <c r="O66">
        <v>82</v>
      </c>
      <c r="P66">
        <v>0.72</v>
      </c>
      <c r="Q66" s="10">
        <f>2*(M66)+(O66/18)+(N66/2.8)+(P66/10)</f>
        <v>287.62755555555555</v>
      </c>
      <c r="R66" s="6">
        <v>1</v>
      </c>
      <c r="S66">
        <v>1</v>
      </c>
      <c r="T66" t="s">
        <v>90</v>
      </c>
      <c r="U66" t="s">
        <v>92</v>
      </c>
    </row>
    <row r="67" spans="1:21" x14ac:dyDescent="0.2">
      <c r="A67" t="s">
        <v>81</v>
      </c>
      <c r="B67">
        <v>101</v>
      </c>
      <c r="C67">
        <v>1</v>
      </c>
      <c r="D67" s="14">
        <v>26562</v>
      </c>
      <c r="E67" t="s">
        <v>9</v>
      </c>
      <c r="F67" s="14">
        <v>42437</v>
      </c>
      <c r="G67" s="15">
        <v>0.35416666666666669</v>
      </c>
      <c r="H67" s="16">
        <f t="shared" si="18"/>
        <v>43.463381245722111</v>
      </c>
      <c r="I67">
        <v>1</v>
      </c>
      <c r="J67" s="2">
        <v>51.472258042650139</v>
      </c>
      <c r="K67" s="2">
        <v>12.263504917949039</v>
      </c>
      <c r="L67">
        <v>18.100000000000001</v>
      </c>
      <c r="M67">
        <v>139</v>
      </c>
      <c r="N67">
        <v>14</v>
      </c>
      <c r="O67">
        <v>82</v>
      </c>
      <c r="P67">
        <v>0.72</v>
      </c>
      <c r="Q67" s="10">
        <f>2*(M67)+(O67/18)+(N67/2.8)+(P67/10)</f>
        <v>287.62755555555555</v>
      </c>
      <c r="R67" s="6">
        <v>1</v>
      </c>
      <c r="S67">
        <v>1</v>
      </c>
      <c r="U67" t="s">
        <v>92</v>
      </c>
    </row>
    <row r="68" spans="1:21" x14ac:dyDescent="0.2">
      <c r="A68" t="s">
        <v>81</v>
      </c>
      <c r="B68">
        <v>101</v>
      </c>
      <c r="C68">
        <v>1</v>
      </c>
      <c r="D68" s="14">
        <v>26562</v>
      </c>
      <c r="E68" t="s">
        <v>9</v>
      </c>
      <c r="F68" s="14">
        <v>42437</v>
      </c>
      <c r="G68" s="15">
        <v>0.59027777777777779</v>
      </c>
      <c r="H68" s="16">
        <f t="shared" si="18"/>
        <v>43.463381245722111</v>
      </c>
      <c r="I68">
        <v>2</v>
      </c>
      <c r="J68" s="2">
        <v>60.46474832272294</v>
      </c>
      <c r="K68" s="2">
        <v>15.46722890248631</v>
      </c>
      <c r="L68">
        <v>10.3</v>
      </c>
      <c r="M68">
        <v>139</v>
      </c>
      <c r="N68">
        <v>14</v>
      </c>
      <c r="O68">
        <v>82</v>
      </c>
      <c r="P68">
        <v>0.72</v>
      </c>
      <c r="Q68" s="10">
        <f>2*(M68)+(O68/18)+(N68/2.8)+(P68/10)</f>
        <v>287.62755555555555</v>
      </c>
      <c r="R68" s="6">
        <v>1</v>
      </c>
      <c r="S68">
        <v>1</v>
      </c>
      <c r="U68" t="s">
        <v>92</v>
      </c>
    </row>
    <row r="69" spans="1:21" x14ac:dyDescent="0.2">
      <c r="A69" t="s">
        <v>81</v>
      </c>
      <c r="B69">
        <v>101</v>
      </c>
      <c r="C69">
        <v>1</v>
      </c>
      <c r="D69" s="14">
        <v>26562</v>
      </c>
      <c r="E69" t="s">
        <v>9</v>
      </c>
      <c r="F69" s="14">
        <v>42438</v>
      </c>
      <c r="G69" s="15">
        <v>0.40972222222222227</v>
      </c>
      <c r="H69" s="16">
        <f t="shared" si="18"/>
        <v>43.466119096509239</v>
      </c>
      <c r="I69">
        <v>3</v>
      </c>
      <c r="J69" s="2">
        <v>55.408328996446862</v>
      </c>
      <c r="K69" s="2">
        <v>16.71905997314434</v>
      </c>
      <c r="L69">
        <v>12.9</v>
      </c>
      <c r="M69">
        <v>139</v>
      </c>
      <c r="N69">
        <v>14</v>
      </c>
      <c r="O69">
        <v>82</v>
      </c>
      <c r="P69">
        <v>0.72</v>
      </c>
      <c r="Q69" s="10">
        <f>2*(M69)+(O69/18)+(N69/2.8)+(P69/10)</f>
        <v>287.62755555555555</v>
      </c>
      <c r="R69" s="6">
        <v>1</v>
      </c>
      <c r="S69">
        <v>1</v>
      </c>
      <c r="U69" t="s">
        <v>92</v>
      </c>
    </row>
    <row r="70" spans="1:21" x14ac:dyDescent="0.2">
      <c r="A70" t="s">
        <v>89</v>
      </c>
      <c r="B70">
        <v>109</v>
      </c>
      <c r="C70">
        <v>1</v>
      </c>
      <c r="D70" s="14">
        <v>35261</v>
      </c>
      <c r="E70" t="s">
        <v>11</v>
      </c>
      <c r="F70" s="14">
        <v>43188</v>
      </c>
      <c r="G70" s="15">
        <v>0.375</v>
      </c>
      <c r="H70" s="16">
        <f t="shared" si="18"/>
        <v>21.702943189596166</v>
      </c>
      <c r="I70">
        <v>0</v>
      </c>
      <c r="J70" s="2">
        <v>51.946220591524209</v>
      </c>
      <c r="K70" s="2">
        <v>12.109031258700572</v>
      </c>
      <c r="L70">
        <v>5</v>
      </c>
      <c r="M70">
        <v>140</v>
      </c>
      <c r="N70">
        <v>9</v>
      </c>
      <c r="O70">
        <v>95</v>
      </c>
      <c r="P70">
        <v>0.74</v>
      </c>
      <c r="Q70" s="10">
        <f>2*(M70)+(O70/18)+(N70/2.8)+(P70/10)</f>
        <v>288.56606349206351</v>
      </c>
      <c r="R70" s="6">
        <v>1</v>
      </c>
      <c r="S70">
        <v>0</v>
      </c>
      <c r="T70" t="s">
        <v>12</v>
      </c>
      <c r="U70" t="s">
        <v>92</v>
      </c>
    </row>
    <row r="71" spans="1:21" x14ac:dyDescent="0.2">
      <c r="A71" t="s">
        <v>89</v>
      </c>
      <c r="B71">
        <v>109</v>
      </c>
      <c r="C71">
        <v>1</v>
      </c>
      <c r="D71" s="14">
        <v>35261</v>
      </c>
      <c r="E71" t="s">
        <v>11</v>
      </c>
      <c r="F71" s="14">
        <v>43194</v>
      </c>
      <c r="G71" s="15">
        <v>0.36458333333333331</v>
      </c>
      <c r="H71" s="16">
        <f t="shared" si="18"/>
        <v>21.71937029431896</v>
      </c>
      <c r="I71">
        <v>1</v>
      </c>
      <c r="J71" s="2">
        <v>59.335415070735401</v>
      </c>
      <c r="K71" s="2">
        <v>20.811563693444118</v>
      </c>
      <c r="L71">
        <v>7.8</v>
      </c>
      <c r="M71">
        <v>140</v>
      </c>
      <c r="N71">
        <v>9</v>
      </c>
      <c r="O71">
        <v>95</v>
      </c>
      <c r="P71">
        <v>0.74</v>
      </c>
      <c r="Q71" s="10">
        <f t="shared" ref="Q71:Q73" si="19">2*(M71)+(O71/18)+(N71/2.8)+(P71/10)</f>
        <v>288.56606349206351</v>
      </c>
      <c r="R71" s="6">
        <v>1</v>
      </c>
      <c r="S71">
        <v>0</v>
      </c>
      <c r="U71" t="s">
        <v>92</v>
      </c>
    </row>
    <row r="72" spans="1:21" x14ac:dyDescent="0.2">
      <c r="A72" t="s">
        <v>89</v>
      </c>
      <c r="B72">
        <v>109</v>
      </c>
      <c r="C72">
        <v>1</v>
      </c>
      <c r="D72" s="14">
        <v>35261</v>
      </c>
      <c r="E72" t="s">
        <v>11</v>
      </c>
      <c r="F72" s="14">
        <v>43194</v>
      </c>
      <c r="G72" s="15">
        <v>0.61458333333333337</v>
      </c>
      <c r="H72" s="16">
        <f t="shared" si="18"/>
        <v>21.71937029431896</v>
      </c>
      <c r="I72">
        <v>2</v>
      </c>
      <c r="J72" s="2">
        <v>74.03350690880805</v>
      </c>
      <c r="K72" s="2">
        <v>15.691049025630777</v>
      </c>
      <c r="L72">
        <v>3.9</v>
      </c>
      <c r="M72">
        <v>140</v>
      </c>
      <c r="N72">
        <v>9</v>
      </c>
      <c r="O72">
        <v>95</v>
      </c>
      <c r="P72">
        <v>0.74</v>
      </c>
      <c r="Q72" s="10">
        <f t="shared" si="19"/>
        <v>288.56606349206351</v>
      </c>
      <c r="R72" s="6">
        <v>1</v>
      </c>
      <c r="S72">
        <v>0</v>
      </c>
      <c r="U72" t="s">
        <v>92</v>
      </c>
    </row>
    <row r="73" spans="1:21" x14ac:dyDescent="0.2">
      <c r="A73" t="s">
        <v>89</v>
      </c>
      <c r="B73">
        <v>109</v>
      </c>
      <c r="C73">
        <v>1</v>
      </c>
      <c r="D73" s="14">
        <v>35261</v>
      </c>
      <c r="E73" t="s">
        <v>11</v>
      </c>
      <c r="F73" s="14">
        <v>43195</v>
      </c>
      <c r="G73" s="15">
        <v>0.40625</v>
      </c>
      <c r="H73" s="16">
        <f t="shared" si="18"/>
        <v>21.722108145106091</v>
      </c>
      <c r="I73">
        <v>3</v>
      </c>
      <c r="J73" s="2">
        <v>75.264825086319377</v>
      </c>
      <c r="K73" s="2">
        <v>17.098743438064432</v>
      </c>
      <c r="L73">
        <v>9.5</v>
      </c>
      <c r="M73">
        <v>140</v>
      </c>
      <c r="N73">
        <v>9</v>
      </c>
      <c r="O73">
        <v>95</v>
      </c>
      <c r="P73">
        <v>0.74</v>
      </c>
      <c r="Q73" s="10">
        <f t="shared" si="19"/>
        <v>288.56606349206351</v>
      </c>
      <c r="R73" s="6">
        <v>1</v>
      </c>
      <c r="S73">
        <v>0</v>
      </c>
      <c r="U73" t="s">
        <v>92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Hiroe Hu</dc:creator>
  <cp:lastModifiedBy>Hiroe Hu</cp:lastModifiedBy>
  <dcterms:created xsi:type="dcterms:W3CDTF">2025-03-09T20:30:56Z</dcterms:created>
  <dcterms:modified xsi:type="dcterms:W3CDTF">2025-06-10T14:56:59Z</dcterms:modified>
</cp:coreProperties>
</file>